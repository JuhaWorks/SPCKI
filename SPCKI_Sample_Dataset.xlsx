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README" sheetId="2" state="visible" r:id="rId4"/>
    <sheet name="Config" sheetId="3" state="visible" r:id="rId5"/>
    <sheet name="Weather_Factors" sheetId="4" state="visible" r:id="rId6"/>
    <sheet name="Appliances" sheetId="5" state="visible" r:id="rId7"/>
    <sheet name="Dishes" sheetId="6" state="visible" r:id="rId8"/>
    <sheet name="Problem_Categories" sheetId="7" state="visible" r:id="rId9"/>
    <sheet name="Users" sheetId="8" state="visible" r:id="rId10"/>
    <sheet name="Households" sheetId="9" state="visible" r:id="rId11"/>
    <sheet name="Slots" sheetId="10" state="visible" r:id="rId12"/>
    <sheet name="Cooking_Sessions" sheetId="11" state="visible" r:id="rId13"/>
    <sheet name="Session_Dishes" sheetId="12" state="visible" r:id="rId14"/>
    <sheet name="Daily_Technical" sheetId="13" state="visible" r:id="rId15"/>
    <sheet name="Generator_Log" sheetId="14" state="visible" r:id="rId16"/>
    <sheet name="Monthly_Feedback" sheetId="15" state="visible" r:id="rId17"/>
    <sheet name="Audit_Log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<sst xmlns="http://schemas.openxmlformats.org/spreadsheetml/2006/main" count="2056" uniqueCount="501">
  <si>
    <t xml:space="preserve">SPCKI sample KPI results (calculated live from the data sheets)</t>
  </si>
  <si>
    <t xml:space="preserve">Period: 2026-09-15 to 2026-09-28. All figures are formulas, so they update when the data changes.</t>
  </si>
  <si>
    <t xml:space="preserve">KPI</t>
  </si>
  <si>
    <t xml:space="preserve">Value</t>
  </si>
  <si>
    <t xml:space="preserve">How it is calculated</t>
  </si>
  <si>
    <t xml:space="preserve">OVERVIEW</t>
  </si>
  <si>
    <t xml:space="preserve">Registered households</t>
  </si>
  <si>
    <t xml:space="preserve">Households in the register</t>
  </si>
  <si>
    <t xml:space="preserve">Active households</t>
  </si>
  <si>
    <t xml:space="preserve">Households with at least one attended session</t>
  </si>
  <si>
    <t xml:space="preserve">Participation rate</t>
  </si>
  <si>
    <t xml:space="preserve">Active ÷ Registered</t>
  </si>
  <si>
    <t xml:space="preserve">Slots scheduled</t>
  </si>
  <si>
    <t xml:space="preserve">All slots in the period</t>
  </si>
  <si>
    <t xml:space="preserve">Slots used (attended or swapped)</t>
  </si>
  <si>
    <t xml:space="preserve">Slots where a household cooked</t>
  </si>
  <si>
    <t xml:space="preserve">Slot utilisation</t>
  </si>
  <si>
    <t xml:space="preserve">Used ÷ Scheduled</t>
  </si>
  <si>
    <t xml:space="preserve">COOKING</t>
  </si>
  <si>
    <t xml:space="preserve">Total sessions</t>
  </si>
  <si>
    <t xml:space="preserve">Completed sessions</t>
  </si>
  <si>
    <t xml:space="preserve">Session completion rate</t>
  </si>
  <si>
    <t xml:space="preserve">Completed ÷ Total</t>
  </si>
  <si>
    <t xml:space="preserve">Average cooking time (min, completed)</t>
  </si>
  <si>
    <t xml:space="preserve">Total cooking time ÷ Completed sessions</t>
  </si>
  <si>
    <t xml:space="preserve">Average minutes per person</t>
  </si>
  <si>
    <t xml:space="preserve">Cooking time ÷ persons cooked for</t>
  </si>
  <si>
    <t xml:space="preserve">Cleaning compliance</t>
  </si>
  <si>
    <t xml:space="preserve">Cleaned ÷ Total sessions</t>
  </si>
  <si>
    <t xml:space="preserve">Waiting issue rate</t>
  </si>
  <si>
    <t xml:space="preserve">Sessions with waiting issue ÷ Total</t>
  </si>
  <si>
    <t xml:space="preserve">Technical fault rate (sessions)</t>
  </si>
  <si>
    <t xml:space="preserve">Sessions with a problem ÷ Total</t>
  </si>
  <si>
    <t xml:space="preserve">TECHNICAL</t>
  </si>
  <si>
    <t xml:space="preserve">System uptime</t>
  </si>
  <si>
    <t xml:space="preserve">(Scheduled hours − Downtime) ÷ Scheduled hours</t>
  </si>
  <si>
    <t xml:space="preserve">Average downtime per day (h)</t>
  </si>
  <si>
    <t xml:space="preserve">Total downtime ÷ Days logged</t>
  </si>
  <si>
    <t xml:space="preserve">Technical faults (days total)</t>
  </si>
  <si>
    <t xml:space="preserve">Safety incidents</t>
  </si>
  <si>
    <t xml:space="preserve">Generator running hours</t>
  </si>
  <si>
    <t xml:space="preserve">Generator fuel used (L)</t>
  </si>
  <si>
    <t xml:space="preserve">Start + Re-fuel − End</t>
  </si>
  <si>
    <t xml:space="preserve">SOLAR AND ENERGY</t>
  </si>
  <si>
    <t xml:space="preserve">Solar produced (kWh)</t>
  </si>
  <si>
    <t xml:space="preserve">Expected solar (kWh)</t>
  </si>
  <si>
    <t xml:space="preserve">Panel kWp × Peak sun hours × Weather factor × Performance ratio</t>
  </si>
  <si>
    <t xml:space="preserve">Efficiency</t>
  </si>
  <si>
    <t xml:space="preserve">Actual ÷ Expected</t>
  </si>
  <si>
    <t xml:space="preserve">Energy consumed (kWh)</t>
  </si>
  <si>
    <t xml:space="preserve">Cooking energy from solar and battery (generator slots excluded; lights and fans not included)</t>
  </si>
  <si>
    <t xml:space="preserve">Wasted energy (kWh)</t>
  </si>
  <si>
    <t xml:space="preserve">Generated − Consumed − Battery change</t>
  </si>
  <si>
    <t xml:space="preserve">Wasted share of solar</t>
  </si>
  <si>
    <t xml:space="preserve">Downtime loss (kWh)</t>
  </si>
  <si>
    <t xml:space="preserve">Expected hourly output × Downtime hours</t>
  </si>
  <si>
    <t xml:space="preserve">HOUSEHOLD FEEDBACK</t>
  </si>
  <si>
    <t xml:space="preserve">Average overall satisfaction (1-5)</t>
  </si>
  <si>
    <t xml:space="preserve">Average safety (1-5)</t>
  </si>
  <si>
    <t xml:space="preserve">Average waiting experience (1-5)</t>
  </si>
  <si>
    <t xml:space="preserve">Willing to continue</t>
  </si>
  <si>
    <t xml:space="preserve">Baseline monthly fuel cost (BDT)</t>
  </si>
  <si>
    <t xml:space="preserve">Before the pilot, all households</t>
  </si>
  <si>
    <t xml:space="preserve">Current monthly fuel spend (BDT)</t>
  </si>
  <si>
    <t xml:space="preserve">From the monthly survey</t>
  </si>
  <si>
    <t xml:space="preserve">Backup-fuel reduction</t>
  </si>
  <si>
    <t xml:space="preserve">(Baseline − Current) ÷ Baseline</t>
  </si>
  <si>
    <t xml:space="preserve">Cooking time by family size band (household size vs time)</t>
  </si>
  <si>
    <t xml:space="preserve">Size band</t>
  </si>
  <si>
    <t xml:space="preserve">Sessions</t>
  </si>
  <si>
    <t xml:space="preserve">Average duration, min (completed)</t>
  </si>
  <si>
    <t xml:space="preserve">Average minutes per person (completed)</t>
  </si>
  <si>
    <t xml:space="preserve">1-3</t>
  </si>
  <si>
    <t xml:space="preserve">4-5</t>
  </si>
  <si>
    <t xml:space="preserve">6-7</t>
  </si>
  <si>
    <t xml:space="preserve">8+</t>
  </si>
  <si>
    <t xml:space="preserve">Cooking time by power source (is slowness caused by power, not family size?)</t>
  </si>
  <si>
    <t xml:space="preserve">Power source</t>
  </si>
  <si>
    <t xml:space="preserve">Technical problem rate</t>
  </si>
  <si>
    <t xml:space="preserve">Solar</t>
  </si>
  <si>
    <t xml:space="preserve">Battery</t>
  </si>
  <si>
    <t xml:space="preserve">Generator</t>
  </si>
  <si>
    <t xml:space="preserve">Food type distribution</t>
  </si>
  <si>
    <t xml:space="preserve">Dish</t>
  </si>
  <si>
    <t xml:space="preserve">Times cooked</t>
  </si>
  <si>
    <t xml:space="preserve">Rice</t>
  </si>
  <si>
    <t xml:space="preserve">Dal</t>
  </si>
  <si>
    <t xml:space="preserve">Vegetables</t>
  </si>
  <si>
    <t xml:space="preserve">Fish</t>
  </si>
  <si>
    <t xml:space="preserve">Meat</t>
  </si>
  <si>
    <t xml:space="preserve">Curry</t>
  </si>
  <si>
    <t xml:space="preserve">Khichuri</t>
  </si>
  <si>
    <t xml:space="preserve">Other</t>
  </si>
  <si>
    <t xml:space="preserve">Appliance utilisation</t>
  </si>
  <si>
    <t xml:space="preserve">Appliance</t>
  </si>
  <si>
    <t xml:space="preserve">Induction cooktop</t>
  </si>
  <si>
    <t xml:space="preserve">Electric pressure cooker</t>
  </si>
  <si>
    <t xml:space="preserve">Rice cooker</t>
  </si>
  <si>
    <t xml:space="preserve">SPCKI Sample Data Set</t>
  </si>
  <si>
    <t xml:space="preserve">Example data showing how the monitoring platform works: 1 kitchen, 16 households, 14 days (15 to 28 September 2026).</t>
  </si>
  <si>
    <t xml:space="preserve">IMPORTANT: this data is simulated for demonstration. It is not real field data. Panel size, battery size and the weather factors are assumptions (see Config).</t>
  </si>
  <si>
    <t xml:space="preserve">How the data flows</t>
  </si>
  <si>
    <t xml:space="preserve">1. Config, Weather_Factors, Appliances, Dishes, Problem_Categories, Users and Households are set up once by the administrator.</t>
  </si>
  <si>
    <t xml:space="preserve">2. Slots: every day has 6 cooking slots with a power source. Households are assigned in rotation. Status: Attended, Missed, Cancelled or Swapped.</t>
  </si>
  <si>
    <t xml:space="preserve">3. Cooking_Sessions (+ Session_Dishes): one row for each slot where a household cooked. Duration, energy, minutes per person and size band are calculated.</t>
  </si>
  <si>
    <t xml:space="preserve">4. Daily_Technical: one row per day (solar, battery, faults, downtime, weather). Expected solar, efficiency and wasted energy are calculated.</t>
  </si>
  <si>
    <t xml:space="preserve">5. Generator_Log: one row per generator day. Fuel used is calculated.</t>
  </si>
  <si>
    <t xml:space="preserve">6. Monthly_Feedback: one survey row per household (ratings, fuel spend, family size, time enough).</t>
  </si>
  <si>
    <t xml:space="preserve">7. KPI_Summary: every KPI is a live formula over the sheets above. Audit_Log shows what the system records about who did what.</t>
  </si>
  <si>
    <t xml:space="preserve">Colour legend</t>
  </si>
  <si>
    <t xml:space="preserve">Blue text = sample input data (what users would enter).</t>
  </si>
  <si>
    <t xml:space="preserve">Black text = formula (calculated by the system).</t>
  </si>
  <si>
    <t xml:space="preserve">Things to look for</t>
  </si>
  <si>
    <t xml:space="preserve">HH-07 has 8 people (3 adults, 5 children). HH-03 has 3 people. Check their cooking times in Cooking_Sessions against the size band table in KPI_Summary.</t>
  </si>
  <si>
    <t xml:space="preserve">A long cooking time is not always about family size: see the power source table and the Problem type column.</t>
  </si>
  <si>
    <t xml:space="preserve">Wasted energy is highest on sunny days when the battery is full; generator slots appear on cloudy, rainy and stormy days.</t>
  </si>
  <si>
    <t xml:space="preserve">Setting</t>
  </si>
  <si>
    <t xml:space="preserve">Note</t>
  </si>
  <si>
    <t xml:space="preserve">kitchen_name</t>
  </si>
  <si>
    <t xml:space="preserve">Kitchen A (pilot)</t>
  </si>
  <si>
    <t xml:space="preserve">Sample kitchen used for this example</t>
  </si>
  <si>
    <t xml:space="preserve">pv_capacity_kwp</t>
  </si>
  <si>
    <t xml:space="preserve">Installed solar panel capacity. ASSUMPTION: replace with the real size</t>
  </si>
  <si>
    <t xml:space="preserve">battery_capacity_kwh</t>
  </si>
  <si>
    <t xml:space="preserve">Usable battery capacity. ASSUMPTION: replace with the real size</t>
  </si>
  <si>
    <t xml:space="preserve">performance_ratio</t>
  </si>
  <si>
    <t xml:space="preserve">Normal system losses (heat, wiring, inverter, dust). Typical 0.70 to 0.80</t>
  </si>
  <si>
    <t xml:space="preserve">peak_sun_hours</t>
  </si>
  <si>
    <t xml:space="preserve">Average full-sun hours per day. ASSUMPTION for Bangladesh, about 4.5 to 5</t>
  </si>
  <si>
    <t xml:space="preserve">scheduled_hours_per_day</t>
  </si>
  <si>
    <t xml:space="preserve">Hours the kitchen is meant to run (06:00 to 19:00)</t>
  </si>
  <si>
    <t xml:space="preserve">max_households</t>
  </si>
  <si>
    <t xml:space="preserve">Households served by this kitchen</t>
  </si>
  <si>
    <t xml:space="preserve">slots_per_day</t>
  </si>
  <si>
    <t xml:space="preserve">Cooking turns per day</t>
  </si>
  <si>
    <t xml:space="preserve">cooking_duty_factor</t>
  </si>
  <si>
    <t xml:space="preserve">Share of cooking time an appliance draws full power. ASSUMPTION</t>
  </si>
  <si>
    <t xml:space="preserve">productive_sun_hours</t>
  </si>
  <si>
    <t xml:space="preserve">Hours used to turn daily expected output into hourly output for downtime loss. ASSUMPTION</t>
  </si>
  <si>
    <t xml:space="preserve">period_start</t>
  </si>
  <si>
    <t xml:space="preserve">First day of the sample data</t>
  </si>
  <si>
    <t xml:space="preserve">period_end</t>
  </si>
  <si>
    <t xml:space="preserve">Last day of the sample data</t>
  </si>
  <si>
    <t xml:space="preserve">Weather</t>
  </si>
  <si>
    <t xml:space="preserve">Factor (share of a sunny day)</t>
  </si>
  <si>
    <t xml:space="preserve">Sunny</t>
  </si>
  <si>
    <t xml:space="preserve">Partly cloudy</t>
  </si>
  <si>
    <t xml:space="preserve">Cloudy</t>
  </si>
  <si>
    <t xml:space="preserve">Rainy</t>
  </si>
  <si>
    <t xml:space="preserve">Stormy</t>
  </si>
  <si>
    <t xml:space="preserve">ID</t>
  </si>
  <si>
    <t xml:space="preserve">Power (kW)</t>
  </si>
  <si>
    <t xml:space="preserve">Kind</t>
  </si>
  <si>
    <t xml:space="preserve">Name</t>
  </si>
  <si>
    <t xml:space="preserve">Waiting</t>
  </si>
  <si>
    <t xml:space="preserve">No free slot</t>
  </si>
  <si>
    <t xml:space="preserve">Appliance busy</t>
  </si>
  <si>
    <t xml:space="preserve">Late start</t>
  </si>
  <si>
    <t xml:space="preserve">Technical</t>
  </si>
  <si>
    <t xml:space="preserve">Power cut</t>
  </si>
  <si>
    <t xml:space="preserve">Appliance fault</t>
  </si>
  <si>
    <t xml:space="preserve">Low battery</t>
  </si>
  <si>
    <t xml:space="preserve">Username</t>
  </si>
  <si>
    <t xml:space="preserve">Full name (sample)</t>
  </si>
  <si>
    <t xml:space="preserve">Role</t>
  </si>
  <si>
    <t xml:space="preserve">Kitchen</t>
  </si>
  <si>
    <t xml:space="preserve">Status</t>
  </si>
  <si>
    <t xml:space="preserve">admin01</t>
  </si>
  <si>
    <t xml:space="preserve">Nasrin Akter</t>
  </si>
  <si>
    <t xml:space="preserve">Admin</t>
  </si>
  <si>
    <t xml:space="preserve">Kitchen A</t>
  </si>
  <si>
    <t xml:space="preserve">Active</t>
  </si>
  <si>
    <t xml:space="preserve">proj01</t>
  </si>
  <si>
    <t xml:space="preserve">Md. Karim</t>
  </si>
  <si>
    <t xml:space="preserve">Project</t>
  </si>
  <si>
    <t xml:space="preserve">field01</t>
  </si>
  <si>
    <t xml:space="preserve">Salma Begum</t>
  </si>
  <si>
    <t xml:space="preserve">Field</t>
  </si>
  <si>
    <t xml:space="preserve">field02</t>
  </si>
  <si>
    <t xml:space="preserve">Jamal Hossain</t>
  </si>
  <si>
    <t xml:space="preserve">tech01</t>
  </si>
  <si>
    <t xml:space="preserve">Rafiq Ahmed</t>
  </si>
  <si>
    <t xml:space="preserve">viewer01</t>
  </si>
  <si>
    <t xml:space="preserve">Farhana Islam</t>
  </si>
  <si>
    <t xml:space="preserve">Viewer</t>
  </si>
  <si>
    <t xml:space="preserve">All kitchens</t>
  </si>
  <si>
    <t xml:space="preserve">Household code</t>
  </si>
  <si>
    <t xml:space="preserve">Family size</t>
  </si>
  <si>
    <t xml:space="preserve">Children</t>
  </si>
  <si>
    <t xml:space="preserve">Adults</t>
  </si>
  <si>
    <t xml:space="preserve">Baseline fuel type</t>
  </si>
  <si>
    <t xml:space="preserve">Joined</t>
  </si>
  <si>
    <t xml:space="preserve">Sessions attended (calc)</t>
  </si>
  <si>
    <t xml:space="preserve">Slots assigned (calc)</t>
  </si>
  <si>
    <t xml:space="preserve">HH-01</t>
  </si>
  <si>
    <t xml:space="preserve">Firewood</t>
  </si>
  <si>
    <t xml:space="preserve">HH-02</t>
  </si>
  <si>
    <t xml:space="preserve">LPG</t>
  </si>
  <si>
    <t xml:space="preserve">HH-03</t>
  </si>
  <si>
    <t xml:space="preserve">HH-04</t>
  </si>
  <si>
    <t xml:space="preserve">HH-05</t>
  </si>
  <si>
    <t xml:space="preserve">HH-06</t>
  </si>
  <si>
    <t xml:space="preserve">HH-07</t>
  </si>
  <si>
    <t xml:space="preserve">HH-08</t>
  </si>
  <si>
    <t xml:space="preserve">HH-09</t>
  </si>
  <si>
    <t xml:space="preserve">HH-10</t>
  </si>
  <si>
    <t xml:space="preserve">HH-11</t>
  </si>
  <si>
    <t xml:space="preserve">HH-12</t>
  </si>
  <si>
    <t xml:space="preserve">HH-13</t>
  </si>
  <si>
    <t xml:space="preserve">HH-14</t>
  </si>
  <si>
    <t xml:space="preserve">HH-15</t>
  </si>
  <si>
    <t xml:space="preserve">HH-16</t>
  </si>
  <si>
    <t xml:space="preserve">Slot ID</t>
  </si>
  <si>
    <t xml:space="preserve">Date</t>
  </si>
  <si>
    <t xml:space="preserve">Slot no.</t>
  </si>
  <si>
    <t xml:space="preserve">Start</t>
  </si>
  <si>
    <t xml:space="preserve">End</t>
  </si>
  <si>
    <t xml:space="preserve">Household</t>
  </si>
  <si>
    <t xml:space="preserve">SL-0001</t>
  </si>
  <si>
    <t xml:space="preserve">Attended</t>
  </si>
  <si>
    <t xml:space="preserve">SL-0002</t>
  </si>
  <si>
    <t xml:space="preserve">SL-0003</t>
  </si>
  <si>
    <t xml:space="preserve">Missed</t>
  </si>
  <si>
    <t xml:space="preserve">Household did not arrive</t>
  </si>
  <si>
    <t xml:space="preserve">SL-0004</t>
  </si>
  <si>
    <t xml:space="preserve">SL-0005</t>
  </si>
  <si>
    <t xml:space="preserve">SL-0006</t>
  </si>
  <si>
    <t xml:space="preserve">SL-0007</t>
  </si>
  <si>
    <t xml:space="preserve">SL-0008</t>
  </si>
  <si>
    <t xml:space="preserve">SL-0009</t>
  </si>
  <si>
    <t xml:space="preserve">SL-0010</t>
  </si>
  <si>
    <t xml:space="preserve">SL-0011</t>
  </si>
  <si>
    <t xml:space="preserve">SL-0012</t>
  </si>
  <si>
    <t xml:space="preserve">SL-0013</t>
  </si>
  <si>
    <t xml:space="preserve">SL-0014</t>
  </si>
  <si>
    <t xml:space="preserve">SL-0015</t>
  </si>
  <si>
    <t xml:space="preserve">SL-0016</t>
  </si>
  <si>
    <t xml:space="preserve">SL-0017</t>
  </si>
  <si>
    <t xml:space="preserve">Swapped</t>
  </si>
  <si>
    <t xml:space="preserve">Swapped with HH-01</t>
  </si>
  <si>
    <t xml:space="preserve">SL-0018</t>
  </si>
  <si>
    <t xml:space="preserve">SL-0019</t>
  </si>
  <si>
    <t xml:space="preserve">SL-0020</t>
  </si>
  <si>
    <t xml:space="preserve">SL-0021</t>
  </si>
  <si>
    <t xml:space="preserve">SL-0022</t>
  </si>
  <si>
    <t xml:space="preserve">SL-0023</t>
  </si>
  <si>
    <t xml:space="preserve">SL-0024</t>
  </si>
  <si>
    <t xml:space="preserve">SL-0025</t>
  </si>
  <si>
    <t xml:space="preserve">SL-0026</t>
  </si>
  <si>
    <t xml:space="preserve">SL-0027</t>
  </si>
  <si>
    <t xml:space="preserve">SL-0028</t>
  </si>
  <si>
    <t xml:space="preserve">SL-0029</t>
  </si>
  <si>
    <t xml:space="preserve">SL-0030</t>
  </si>
  <si>
    <t xml:space="preserve">SL-0031</t>
  </si>
  <si>
    <t xml:space="preserve">SL-0032</t>
  </si>
  <si>
    <t xml:space="preserve">SL-0033</t>
  </si>
  <si>
    <t xml:space="preserve">SL-0034</t>
  </si>
  <si>
    <t xml:space="preserve">SL-0035</t>
  </si>
  <si>
    <t xml:space="preserve">SL-0036</t>
  </si>
  <si>
    <t xml:space="preserve">Swapped with HH-04</t>
  </si>
  <si>
    <t xml:space="preserve">SL-0037</t>
  </si>
  <si>
    <t xml:space="preserve">SL-0038</t>
  </si>
  <si>
    <t xml:space="preserve">SL-0039</t>
  </si>
  <si>
    <t xml:space="preserve">SL-0040</t>
  </si>
  <si>
    <t xml:space="preserve">SL-0041</t>
  </si>
  <si>
    <t xml:space="preserve">SL-0042</t>
  </si>
  <si>
    <t xml:space="preserve">SL-0043</t>
  </si>
  <si>
    <t xml:space="preserve">SL-0044</t>
  </si>
  <si>
    <t xml:space="preserve">SL-0045</t>
  </si>
  <si>
    <t xml:space="preserve">SL-0046</t>
  </si>
  <si>
    <t xml:space="preserve">Cancelled</t>
  </si>
  <si>
    <t xml:space="preserve">Household cancelled in advance</t>
  </si>
  <si>
    <t xml:space="preserve">SL-0047</t>
  </si>
  <si>
    <t xml:space="preserve">SL-0048</t>
  </si>
  <si>
    <t xml:space="preserve">SL-0049</t>
  </si>
  <si>
    <t xml:space="preserve">SL-0050</t>
  </si>
  <si>
    <t xml:space="preserve">SL-0051</t>
  </si>
  <si>
    <t xml:space="preserve">SL-0052</t>
  </si>
  <si>
    <t xml:space="preserve">SL-0053</t>
  </si>
  <si>
    <t xml:space="preserve">SL-0054</t>
  </si>
  <si>
    <t xml:space="preserve">SL-0055</t>
  </si>
  <si>
    <t xml:space="preserve">SL-0056</t>
  </si>
  <si>
    <t xml:space="preserve">SL-0057</t>
  </si>
  <si>
    <t xml:space="preserve">SL-0058</t>
  </si>
  <si>
    <t xml:space="preserve">SL-0059</t>
  </si>
  <si>
    <t xml:space="preserve">SL-0060</t>
  </si>
  <si>
    <t xml:space="preserve">SL-0061</t>
  </si>
  <si>
    <t xml:space="preserve">SL-0062</t>
  </si>
  <si>
    <t xml:space="preserve">SL-0063</t>
  </si>
  <si>
    <t xml:space="preserve">SL-0064</t>
  </si>
  <si>
    <t xml:space="preserve">SL-0065</t>
  </si>
  <si>
    <t xml:space="preserve">SL-0066</t>
  </si>
  <si>
    <t xml:space="preserve">SL-0067</t>
  </si>
  <si>
    <t xml:space="preserve">SL-0068</t>
  </si>
  <si>
    <t xml:space="preserve">SL-0069</t>
  </si>
  <si>
    <t xml:space="preserve">SL-0070</t>
  </si>
  <si>
    <t xml:space="preserve">Swapped with HH-06</t>
  </si>
  <si>
    <t xml:space="preserve">SL-0071</t>
  </si>
  <si>
    <t xml:space="preserve">SL-0072</t>
  </si>
  <si>
    <t xml:space="preserve">SL-0073</t>
  </si>
  <si>
    <t xml:space="preserve">SL-0074</t>
  </si>
  <si>
    <t xml:space="preserve">Swapped with HH-10</t>
  </si>
  <si>
    <t xml:space="preserve">SL-0075</t>
  </si>
  <si>
    <t xml:space="preserve">SL-0076</t>
  </si>
  <si>
    <t xml:space="preserve">Swapped with HH-12</t>
  </si>
  <si>
    <t xml:space="preserve">SL-0077</t>
  </si>
  <si>
    <t xml:space="preserve">SL-0078</t>
  </si>
  <si>
    <t xml:space="preserve">SL-0079</t>
  </si>
  <si>
    <t xml:space="preserve">SL-0080</t>
  </si>
  <si>
    <t xml:space="preserve">SL-0081</t>
  </si>
  <si>
    <t xml:space="preserve">SL-0082</t>
  </si>
  <si>
    <t xml:space="preserve">SL-0083</t>
  </si>
  <si>
    <t xml:space="preserve">SL-0084</t>
  </si>
  <si>
    <t xml:space="preserve">Session ID</t>
  </si>
  <si>
    <t xml:space="preserve">Family size (calc)</t>
  </si>
  <si>
    <t xml:space="preserve">Persons cooked for</t>
  </si>
  <si>
    <t xml:space="preserve">Duration, min (calc)</t>
  </si>
  <si>
    <t xml:space="preserve">Dishes</t>
  </si>
  <si>
    <t xml:space="preserve">Cooking completed</t>
  </si>
  <si>
    <t xml:space="preserve">Cleaning completed</t>
  </si>
  <si>
    <t xml:space="preserve">Waiting issue</t>
  </si>
  <si>
    <t xml:space="preserve">Waiting reason</t>
  </si>
  <si>
    <t xml:space="preserve">Technical problem</t>
  </si>
  <si>
    <t xml:space="preserve">Problem type</t>
  </si>
  <si>
    <t xml:space="preserve">Remarks</t>
  </si>
  <si>
    <t xml:space="preserve">Energy, kWh (calc)</t>
  </si>
  <si>
    <t xml:space="preserve">Minutes per person (calc)</t>
  </si>
  <si>
    <t xml:space="preserve">Size band (calc)</t>
  </si>
  <si>
    <t xml:space="preserve">CS-0001</t>
  </si>
  <si>
    <t xml:space="preserve">Rice, Dal</t>
  </si>
  <si>
    <t xml:space="preserve">Yes</t>
  </si>
  <si>
    <t xml:space="preserve">No</t>
  </si>
  <si>
    <t xml:space="preserve">CS-0002</t>
  </si>
  <si>
    <t xml:space="preserve">Rice, Vegetables</t>
  </si>
  <si>
    <t xml:space="preserve">CS-0003</t>
  </si>
  <si>
    <t xml:space="preserve">Rice, Dal, Fish</t>
  </si>
  <si>
    <t xml:space="preserve">CS-0004</t>
  </si>
  <si>
    <t xml:space="preserve">Rice, Meat</t>
  </si>
  <si>
    <t xml:space="preserve">CS-0005</t>
  </si>
  <si>
    <t xml:space="preserve">CS-0006</t>
  </si>
  <si>
    <t xml:space="preserve">Rice, Dal, Meat</t>
  </si>
  <si>
    <t xml:space="preserve">Needed more time for 8 persons</t>
  </si>
  <si>
    <t xml:space="preserve">CS-0007</t>
  </si>
  <si>
    <t xml:space="preserve">CS-0008</t>
  </si>
  <si>
    <t xml:space="preserve">CS-0009</t>
  </si>
  <si>
    <t xml:space="preserve">Rice, Dal, Vegetables</t>
  </si>
  <si>
    <t xml:space="preserve">CS-0010</t>
  </si>
  <si>
    <t xml:space="preserve">Previous household finished late</t>
  </si>
  <si>
    <t xml:space="preserve">CS-0011</t>
  </si>
  <si>
    <t xml:space="preserve">CS-0012</t>
  </si>
  <si>
    <t xml:space="preserve">Rice, Fish</t>
  </si>
  <si>
    <t xml:space="preserve">CS-0013</t>
  </si>
  <si>
    <t xml:space="preserve">CS-0014</t>
  </si>
  <si>
    <t xml:space="preserve">CS-0015</t>
  </si>
  <si>
    <t xml:space="preserve">CS-0016</t>
  </si>
  <si>
    <t xml:space="preserve">CS-0017</t>
  </si>
  <si>
    <t xml:space="preserve">CS-0018</t>
  </si>
  <si>
    <t xml:space="preserve">Cooker stopped twice and was restarted</t>
  </si>
  <si>
    <t xml:space="preserve">CS-0019</t>
  </si>
  <si>
    <t xml:space="preserve">Rice, Curry</t>
  </si>
  <si>
    <t xml:space="preserve">CS-0020</t>
  </si>
  <si>
    <t xml:space="preserve">CS-0021</t>
  </si>
  <si>
    <t xml:space="preserve">CS-0022</t>
  </si>
  <si>
    <t xml:space="preserve">CS-0023</t>
  </si>
  <si>
    <t xml:space="preserve">CS-0024</t>
  </si>
  <si>
    <t xml:space="preserve">CS-0025</t>
  </si>
  <si>
    <t xml:space="preserve">CS-0026</t>
  </si>
  <si>
    <t xml:space="preserve">CS-0027</t>
  </si>
  <si>
    <t xml:space="preserve">CS-0028</t>
  </si>
  <si>
    <t xml:space="preserve">CS-0029</t>
  </si>
  <si>
    <t xml:space="preserve">CS-0030</t>
  </si>
  <si>
    <t xml:space="preserve">CS-0031</t>
  </si>
  <si>
    <t xml:space="preserve">CS-0032</t>
  </si>
  <si>
    <t xml:space="preserve">CS-0033</t>
  </si>
  <si>
    <t xml:space="preserve">CS-0034</t>
  </si>
  <si>
    <t xml:space="preserve">CS-0035</t>
  </si>
  <si>
    <t xml:space="preserve">CS-0036</t>
  </si>
  <si>
    <t xml:space="preserve">CS-0037</t>
  </si>
  <si>
    <t xml:space="preserve">CS-0038</t>
  </si>
  <si>
    <t xml:space="preserve">CS-0039</t>
  </si>
  <si>
    <t xml:space="preserve">CS-0040</t>
  </si>
  <si>
    <t xml:space="preserve">CS-0041</t>
  </si>
  <si>
    <t xml:space="preserve">CS-0042</t>
  </si>
  <si>
    <t xml:space="preserve">CS-0043</t>
  </si>
  <si>
    <t xml:space="preserve">CS-0044</t>
  </si>
  <si>
    <t xml:space="preserve">CS-0045</t>
  </si>
  <si>
    <t xml:space="preserve">CS-0046</t>
  </si>
  <si>
    <t xml:space="preserve">CS-0047</t>
  </si>
  <si>
    <t xml:space="preserve">CS-0048</t>
  </si>
  <si>
    <t xml:space="preserve">CS-0049</t>
  </si>
  <si>
    <t xml:space="preserve">CS-0050</t>
  </si>
  <si>
    <t xml:space="preserve">CS-0051</t>
  </si>
  <si>
    <t xml:space="preserve">CS-0052</t>
  </si>
  <si>
    <t xml:space="preserve">CS-0053</t>
  </si>
  <si>
    <t xml:space="preserve">CS-0054</t>
  </si>
  <si>
    <t xml:space="preserve">CS-0055</t>
  </si>
  <si>
    <t xml:space="preserve">CS-0056</t>
  </si>
  <si>
    <t xml:space="preserve">CS-0057</t>
  </si>
  <si>
    <t xml:space="preserve">CS-0058</t>
  </si>
  <si>
    <t xml:space="preserve">CS-0059</t>
  </si>
  <si>
    <t xml:space="preserve">CS-0060</t>
  </si>
  <si>
    <t xml:space="preserve">CS-0061</t>
  </si>
  <si>
    <t xml:space="preserve">CS-0062</t>
  </si>
  <si>
    <t xml:space="preserve">CS-0063</t>
  </si>
  <si>
    <t xml:space="preserve">CS-0064</t>
  </si>
  <si>
    <t xml:space="preserve">CS-0065</t>
  </si>
  <si>
    <t xml:space="preserve">CS-0066</t>
  </si>
  <si>
    <t xml:space="preserve">CS-0067</t>
  </si>
  <si>
    <t xml:space="preserve">CS-0068</t>
  </si>
  <si>
    <t xml:space="preserve">CS-0069</t>
  </si>
  <si>
    <t xml:space="preserve">CS-0070</t>
  </si>
  <si>
    <t xml:space="preserve">CS-0071</t>
  </si>
  <si>
    <t xml:space="preserve">CS-0072</t>
  </si>
  <si>
    <t xml:space="preserve">CS-0073</t>
  </si>
  <si>
    <t xml:space="preserve">CS-0074</t>
  </si>
  <si>
    <t xml:space="preserve">CS-0075</t>
  </si>
  <si>
    <t xml:space="preserve">CS-0076</t>
  </si>
  <si>
    <t xml:space="preserve">CS-0077</t>
  </si>
  <si>
    <t xml:space="preserve">CS-0078</t>
  </si>
  <si>
    <t xml:space="preserve">CS-0079</t>
  </si>
  <si>
    <t xml:space="preserve">Morning battery %</t>
  </si>
  <si>
    <t xml:space="preserve">Evening battery %</t>
  </si>
  <si>
    <t xml:space="preserve">System operational</t>
  </si>
  <si>
    <t xml:space="preserve">Faults</t>
  </si>
  <si>
    <t xml:space="preserve">Downtime (h)</t>
  </si>
  <si>
    <t xml:space="preserve">Safety incident</t>
  </si>
  <si>
    <t xml:space="preserve">Safety note</t>
  </si>
  <si>
    <t xml:space="preserve">Energy consumed, kWh (calc)</t>
  </si>
  <si>
    <t xml:space="preserve">Expected solar, kWh (calc)</t>
  </si>
  <si>
    <t xml:space="preserve">Efficiency (calc)</t>
  </si>
  <si>
    <t xml:space="preserve">Battery change, kWh (calc)</t>
  </si>
  <si>
    <t xml:space="preserve">Wasted energy, kWh (calc)</t>
  </si>
  <si>
    <t xml:space="preserve">Wasted share (calc)</t>
  </si>
  <si>
    <t xml:space="preserve">Downtime loss, kWh (calc)</t>
  </si>
  <si>
    <t xml:space="preserve">Inverter trip, restarted</t>
  </si>
  <si>
    <t xml:space="preserve">Storm: system off for part of the day</t>
  </si>
  <si>
    <t xml:space="preserve">Panels dusty; cleaned the next morning</t>
  </si>
  <si>
    <t xml:space="preserve">Minor: loose cable found near battery cabinet and fixed</t>
  </si>
  <si>
    <t xml:space="preserve">Fuel at start (L)</t>
  </si>
  <si>
    <t xml:space="preserve">Re-fuel (L)</t>
  </si>
  <si>
    <t xml:space="preserve">Fuel at end (L)</t>
  </si>
  <si>
    <t xml:space="preserve">Running time (h)</t>
  </si>
  <si>
    <t xml:space="preserve">Maintenance required</t>
  </si>
  <si>
    <t xml:space="preserve">Maintenance type</t>
  </si>
  <si>
    <t xml:space="preserve">Fuel used, L (calc)</t>
  </si>
  <si>
    <t xml:space="preserve">Oil change</t>
  </si>
  <si>
    <t xml:space="preserve">Done after 4 hours of running</t>
  </si>
  <si>
    <t xml:space="preserve">Month</t>
  </si>
  <si>
    <t xml:space="preserve">Backup fuel used</t>
  </si>
  <si>
    <t xml:space="preserve">Backup fuel spend (BDT)</t>
  </si>
  <si>
    <t xml:space="preserve">Fuel reduction (1-5)</t>
  </si>
  <si>
    <t xml:space="preserve">Safety (1-5)</t>
  </si>
  <si>
    <t xml:space="preserve">Privacy (1-5)</t>
  </si>
  <si>
    <t xml:space="preserve">Waiting (1-5)</t>
  </si>
  <si>
    <t xml:space="preserve">Overall satisfaction (1-5)</t>
  </si>
  <si>
    <t xml:space="preserve">Cleanliness (1-5)</t>
  </si>
  <si>
    <t xml:space="preserve">Ease of cooking (1-5)</t>
  </si>
  <si>
    <t xml:space="preserve">Slot suitability (1-5)</t>
  </si>
  <si>
    <t xml:space="preserve">Time enough for family size</t>
  </si>
  <si>
    <t xml:space="preserve">Family members now</t>
  </si>
  <si>
    <t xml:space="preserve">2026-09</t>
  </si>
  <si>
    <t xml:space="preserve">About right</t>
  </si>
  <si>
    <t xml:space="preserve">Too short</t>
  </si>
  <si>
    <t xml:space="preserve">Waiting is the main problem</t>
  </si>
  <si>
    <t xml:space="preserve">Needs longer slot for big family</t>
  </si>
  <si>
    <t xml:space="preserve">Too long</t>
  </si>
  <si>
    <t xml:space="preserve">Time</t>
  </si>
  <si>
    <t xml:space="preserve">User</t>
  </si>
  <si>
    <t xml:space="preserve">Action</t>
  </si>
  <si>
    <t xml:space="preserve">Table</t>
  </si>
  <si>
    <t xml:space="preserve">Record</t>
  </si>
  <si>
    <t xml:space="preserve">Detail</t>
  </si>
  <si>
    <t xml:space="preserve">2026-09-16 08:12</t>
  </si>
  <si>
    <t xml:space="preserve">CREATE</t>
  </si>
  <si>
    <t xml:space="preserve">cooking_sessions</t>
  </si>
  <si>
    <t xml:space="preserve">Entry saved offline, synced 08:40</t>
  </si>
  <si>
    <t xml:space="preserve">2026-09-17 18:30</t>
  </si>
  <si>
    <t xml:space="preserve">daily_technical</t>
  </si>
  <si>
    <t xml:space="preserve">2026-09-17</t>
  </si>
  <si>
    <t xml:space="preserve">Daily log submitted</t>
  </si>
  <si>
    <t xml:space="preserve">2026-09-18 09:05</t>
  </si>
  <si>
    <t xml:space="preserve">UPDATE</t>
  </si>
  <si>
    <t xml:space="preserve">End time corrected from 11:10 to 11:05 (reason: typing error)</t>
  </si>
  <si>
    <t xml:space="preserve">2026-09-19 07:50</t>
  </si>
  <si>
    <t xml:space="preserve">slots</t>
  </si>
  <si>
    <t xml:space="preserve">Rotation changed by administrator</t>
  </si>
  <si>
    <t xml:space="preserve">2026-09-22 19:10</t>
  </si>
  <si>
    <t xml:space="preserve">2026-09-22</t>
  </si>
  <si>
    <t xml:space="preserve">Stormy day: system off for 3.5 hours</t>
  </si>
  <si>
    <t xml:space="preserve">2026-09-25 17:45</t>
  </si>
  <si>
    <t xml:space="preserve">2026-09-25</t>
  </si>
  <si>
    <t xml:space="preserve">Safety incident recorded</t>
  </si>
  <si>
    <t xml:space="preserve">2026-09-28 20:00</t>
  </si>
  <si>
    <t xml:space="preserve">EXPORT</t>
  </si>
  <si>
    <t xml:space="preserve">reports</t>
  </si>
  <si>
    <t xml:space="preserve">monthly</t>
  </si>
  <si>
    <t xml:space="preserve">Monthly report exported to Excel</t>
  </si>
  <si>
    <t xml:space="preserve">2026-09-28 20:15</t>
  </si>
  <si>
    <t xml:space="preserve">LOGIN</t>
  </si>
  <si>
    <t xml:space="preserve">users</t>
  </si>
  <si>
    <t xml:space="preserve">Dashboard viewed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</si>
</sst>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0.0"/>
    <numFmt numFmtId="168" formatCode="0.00"/>
    <numFmt numFmtId="169" formatCode="#,##0"/>
    <numFmt numFmtId="170" formatCode="yyyy\-mm\-dd"/>
    <numFmt numFmtId="171" formatCode="General"/>
    <numFmt numFmtId="172" formatCode="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9D9D9"/>
        <bgColor rgb="FFBBBB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/>
      <c r="C4" s="5"/>
    </row>
    <row r="5" customFormat="false" ht="15" hidden="false" customHeight="false" outlineLevel="0" collapsed="false">
      <c r="A5" s="6" t="s">
        <v>6</v>
      </c>
      <c r="B5" s="7" t="n">
        <f aca="false">COUNTA(Households!$A$2:$A$17)</f>
        <v>16</v>
      </c>
      <c r="C5" s="6" t="s">
        <v>7</v>
      </c>
    </row>
    <row r="6" customFormat="false" ht="15" hidden="false" customHeight="false" outlineLevel="0" collapsed="false">
      <c r="A6" s="6" t="s">
        <v>8</v>
      </c>
      <c r="B6" s="7" t="n">
        <f aca="false">SUMPRODUCT(--(Households!$J$2:$J$17&gt;0))</f>
        <v>16</v>
      </c>
      <c r="C6" s="6" t="s">
        <v>9</v>
      </c>
    </row>
    <row r="7" customFormat="false" ht="15" hidden="false" customHeight="false" outlineLevel="0" collapsed="false">
      <c r="A7" s="6" t="s">
        <v>10</v>
      </c>
      <c r="B7" s="8" t="n">
        <f aca="false">B6/B5</f>
        <v>1</v>
      </c>
      <c r="C7" s="6" t="s">
        <v>11</v>
      </c>
    </row>
    <row r="8" customFormat="false" ht="15" hidden="false" customHeight="false" outlineLevel="0" collapsed="false">
      <c r="A8" s="6" t="s">
        <v>12</v>
      </c>
      <c r="B8" s="7" t="n">
        <f aca="false">COUNTA(Slots!$A$2:$A$85)</f>
        <v>84</v>
      </c>
      <c r="C8" s="6" t="s">
        <v>13</v>
      </c>
    </row>
    <row r="9" customFormat="false" ht="15" hidden="false" customHeight="false" outlineLevel="0" collapsed="false">
      <c r="A9" s="6" t="s">
        <v>14</v>
      </c>
      <c r="B9" s="7" t="n">
        <f aca="false">COUNTIF(Slots!$H$2:$H$85,"Attended")+COUNTIF(Slots!$H$2:$H$85,"Swapped")</f>
        <v>79</v>
      </c>
      <c r="C9" s="6" t="s">
        <v>15</v>
      </c>
    </row>
    <row r="10" customFormat="false" ht="15" hidden="false" customHeight="false" outlineLevel="0" collapsed="false">
      <c r="A10" s="6" t="s">
        <v>16</v>
      </c>
      <c r="B10" s="8" t="n">
        <f aca="false">B9/B8</f>
        <v>0.940476190476191</v>
      </c>
      <c r="C10" s="6" t="s">
        <v>17</v>
      </c>
    </row>
    <row r="11" customFormat="false" ht="15" hidden="false" customHeight="false" outlineLevel="0" collapsed="false">
      <c r="A11" s="4" t="s">
        <v>18</v>
      </c>
      <c r="B11" s="5"/>
      <c r="C11" s="5"/>
    </row>
    <row r="12" customFormat="false" ht="15" hidden="false" customHeight="false" outlineLevel="0" collapsed="false">
      <c r="A12" s="6" t="s">
        <v>19</v>
      </c>
      <c r="B12" s="7" t="n">
        <f aca="false">COUNTA(Cooking_Sessions!$A$2:$A$80)</f>
        <v>79</v>
      </c>
      <c r="C12" s="6"/>
    </row>
    <row r="13" customFormat="false" ht="15" hidden="false" customHeight="false" outlineLevel="0" collapsed="false">
      <c r="A13" s="6" t="s">
        <v>20</v>
      </c>
      <c r="B13" s="7" t="n">
        <f aca="false">COUNTIF(Cooking_Sessions!$M$2:$M$80,"Yes")</f>
        <v>78</v>
      </c>
      <c r="C13" s="6"/>
    </row>
    <row r="14" customFormat="false" ht="15" hidden="false" customHeight="false" outlineLevel="0" collapsed="false">
      <c r="A14" s="6" t="s">
        <v>21</v>
      </c>
      <c r="B14" s="8" t="n">
        <f aca="false">B13/B12</f>
        <v>0.987341772151899</v>
      </c>
      <c r="C14" s="6" t="s">
        <v>22</v>
      </c>
    </row>
    <row r="15" customFormat="false" ht="15" hidden="false" customHeight="false" outlineLevel="0" collapsed="false">
      <c r="A15" s="6" t="s">
        <v>23</v>
      </c>
      <c r="B15" s="9" t="n">
        <f aca="false">AVERAGEIFS(Cooking_Sessions!$I$2:$I$80,Cooking_Sessions!$M$2:$M$80,"Yes")</f>
        <v>59.4230769230769</v>
      </c>
      <c r="C15" s="6" t="s">
        <v>24</v>
      </c>
    </row>
    <row r="16" customFormat="false" ht="15" hidden="false" customHeight="false" outlineLevel="0" collapsed="false">
      <c r="A16" s="6" t="s">
        <v>25</v>
      </c>
      <c r="B16" s="9" t="n">
        <f aca="false">AVERAGEIFS(Cooking_Sessions!$U$2:$U$80,Cooking_Sessions!$M$2:$M$80,"Yes")</f>
        <v>12.9141025641026</v>
      </c>
      <c r="C16" s="6" t="s">
        <v>26</v>
      </c>
    </row>
    <row r="17" customFormat="false" ht="15" hidden="false" customHeight="false" outlineLevel="0" collapsed="false">
      <c r="A17" s="6" t="s">
        <v>27</v>
      </c>
      <c r="B17" s="8" t="n">
        <f aca="false">COUNTIF(Cooking_Sessions!$N$2:$N$80,"Yes")/B12</f>
        <v>0.911392405063291</v>
      </c>
      <c r="C17" s="6" t="s">
        <v>28</v>
      </c>
    </row>
    <row r="18" customFormat="false" ht="15" hidden="false" customHeight="false" outlineLevel="0" collapsed="false">
      <c r="A18" s="6" t="s">
        <v>29</v>
      </c>
      <c r="B18" s="8" t="n">
        <f aca="false">COUNTIF(Cooking_Sessions!$O$2:$O$80,"Yes")/B12</f>
        <v>0.10126582278481</v>
      </c>
      <c r="C18" s="6" t="s">
        <v>30</v>
      </c>
    </row>
    <row r="19" customFormat="false" ht="15" hidden="false" customHeight="false" outlineLevel="0" collapsed="false">
      <c r="A19" s="6" t="s">
        <v>31</v>
      </c>
      <c r="B19" s="8" t="n">
        <f aca="false">COUNTIF(Cooking_Sessions!$Q$2:$Q$80,"Yes")/B12</f>
        <v>0.139240506329114</v>
      </c>
      <c r="C19" s="6" t="s">
        <v>32</v>
      </c>
    </row>
    <row r="20" customFormat="false" ht="15" hidden="false" customHeight="false" outlineLevel="0" collapsed="false">
      <c r="A20" s="4" t="s">
        <v>33</v>
      </c>
      <c r="B20" s="5"/>
      <c r="C20" s="5"/>
    </row>
    <row r="21" customFormat="false" ht="15" hidden="false" customHeight="false" outlineLevel="0" collapsed="false">
      <c r="A21" s="6" t="s">
        <v>34</v>
      </c>
      <c r="B21" s="8" t="n">
        <f aca="false">1-SUM(Daily_Technical!$H$2:$H$15)/(Config!$B$7*COUNTA(Daily_Technical!$A$2:$A$15))</f>
        <v>0.978021978021978</v>
      </c>
      <c r="C21" s="6" t="s">
        <v>35</v>
      </c>
    </row>
    <row r="22" customFormat="false" ht="15" hidden="false" customHeight="false" outlineLevel="0" collapsed="false">
      <c r="A22" s="6" t="s">
        <v>36</v>
      </c>
      <c r="B22" s="10" t="n">
        <f aca="false">SUM(Daily_Technical!$H$2:$H$15)/COUNTA(Daily_Technical!$A$2:$A$15)</f>
        <v>0.285714285714286</v>
      </c>
      <c r="C22" s="6" t="s">
        <v>37</v>
      </c>
    </row>
    <row r="23" customFormat="false" ht="15" hidden="false" customHeight="false" outlineLevel="0" collapsed="false">
      <c r="A23" s="6" t="s">
        <v>38</v>
      </c>
      <c r="B23" s="7" t="n">
        <f aca="false">SUM(Daily_Technical!$G$2:$G$15)</f>
        <v>4</v>
      </c>
      <c r="C23" s="6"/>
    </row>
    <row r="24" customFormat="false" ht="15" hidden="false" customHeight="false" outlineLevel="0" collapsed="false">
      <c r="A24" s="6" t="s">
        <v>39</v>
      </c>
      <c r="B24" s="7" t="n">
        <f aca="false">COUNTIF(Daily_Technical!$I$2:$I$15,"Yes")</f>
        <v>1</v>
      </c>
      <c r="C24" s="6"/>
    </row>
    <row r="25" customFormat="false" ht="15" hidden="false" customHeight="false" outlineLevel="0" collapsed="false">
      <c r="A25" s="6" t="s">
        <v>40</v>
      </c>
      <c r="B25" s="9" t="n">
        <f aca="false">SUM(Generator_Log!$E$2:$E$7)</f>
        <v>25.5</v>
      </c>
      <c r="C25" s="6"/>
    </row>
    <row r="26" customFormat="false" ht="15" hidden="false" customHeight="false" outlineLevel="0" collapsed="false">
      <c r="A26" s="6" t="s">
        <v>41</v>
      </c>
      <c r="B26" s="9" t="n">
        <f aca="false">SUM(Generator_Log!$I$2:$I$7)</f>
        <v>33.3</v>
      </c>
      <c r="C26" s="6" t="s">
        <v>42</v>
      </c>
    </row>
    <row r="27" customFormat="false" ht="15" hidden="false" customHeight="false" outlineLevel="0" collapsed="false">
      <c r="A27" s="4" t="s">
        <v>43</v>
      </c>
      <c r="B27" s="5"/>
      <c r="C27" s="5"/>
    </row>
    <row r="28" customFormat="false" ht="15" hidden="false" customHeight="false" outlineLevel="0" collapsed="false">
      <c r="A28" s="6" t="s">
        <v>44</v>
      </c>
      <c r="B28" s="9" t="n">
        <f aca="false">SUM(Daily_Technical!$C$2:$C$15)</f>
        <v>96.1</v>
      </c>
      <c r="C28" s="6"/>
    </row>
    <row r="29" customFormat="false" ht="15" hidden="false" customHeight="false" outlineLevel="0" collapsed="false">
      <c r="A29" s="6" t="s">
        <v>45</v>
      </c>
      <c r="B29" s="9" t="n">
        <f aca="false">SUM(Daily_Technical!$L$2:$L$15)</f>
        <v>110.06</v>
      </c>
      <c r="C29" s="6" t="s">
        <v>46</v>
      </c>
    </row>
    <row r="30" customFormat="false" ht="15" hidden="false" customHeight="false" outlineLevel="0" collapsed="false">
      <c r="A30" s="6" t="s">
        <v>47</v>
      </c>
      <c r="B30" s="8" t="n">
        <f aca="false">B28/B29</f>
        <v>0.873160094493912</v>
      </c>
      <c r="C30" s="6" t="s">
        <v>48</v>
      </c>
    </row>
    <row r="31" customFormat="false" ht="15" hidden="false" customHeight="false" outlineLevel="0" collapsed="false">
      <c r="A31" s="6" t="s">
        <v>49</v>
      </c>
      <c r="B31" s="9" t="n">
        <f aca="false">SUM(Daily_Technical!$K$2:$K$15)</f>
        <v>53.13</v>
      </c>
      <c r="C31" s="6" t="s">
        <v>50</v>
      </c>
    </row>
    <row r="32" customFormat="false" ht="15" hidden="false" customHeight="false" outlineLevel="0" collapsed="false">
      <c r="A32" s="6" t="s">
        <v>51</v>
      </c>
      <c r="B32" s="9" t="n">
        <f aca="false">SUM(Daily_Technical!$O$2:$O$15)</f>
        <v>35.47</v>
      </c>
      <c r="C32" s="6" t="s">
        <v>52</v>
      </c>
    </row>
    <row r="33" customFormat="false" ht="15" hidden="false" customHeight="false" outlineLevel="0" collapsed="false">
      <c r="A33" s="6" t="s">
        <v>53</v>
      </c>
      <c r="B33" s="8" t="n">
        <f aca="false">B32/B28</f>
        <v>0.369094693028096</v>
      </c>
      <c r="C33" s="6"/>
    </row>
    <row r="34" customFormat="false" ht="15" hidden="false" customHeight="false" outlineLevel="0" collapsed="false">
      <c r="A34" s="6" t="s">
        <v>54</v>
      </c>
      <c r="B34" s="9" t="n">
        <f aca="false">SUM(Daily_Technical!$Q$2:$Q$15)</f>
        <v>0.71</v>
      </c>
      <c r="C34" s="6" t="s">
        <v>55</v>
      </c>
    </row>
    <row r="35" customFormat="false" ht="15" hidden="false" customHeight="false" outlineLevel="0" collapsed="false">
      <c r="A35" s="4" t="s">
        <v>56</v>
      </c>
      <c r="B35" s="5"/>
      <c r="C35" s="5"/>
    </row>
    <row r="36" customFormat="false" ht="15" hidden="false" customHeight="false" outlineLevel="0" collapsed="false">
      <c r="A36" s="6" t="s">
        <v>57</v>
      </c>
      <c r="B36" s="10" t="n">
        <f aca="false">AVERAGE(Monthly_Feedback!$I$2:$I$17)</f>
        <v>3.9375</v>
      </c>
      <c r="C36" s="6"/>
    </row>
    <row r="37" customFormat="false" ht="15" hidden="false" customHeight="false" outlineLevel="0" collapsed="false">
      <c r="A37" s="6" t="s">
        <v>58</v>
      </c>
      <c r="B37" s="10" t="n">
        <f aca="false">AVERAGE(Monthly_Feedback!$F$2:$F$17)</f>
        <v>4.4375</v>
      </c>
      <c r="C37" s="6"/>
    </row>
    <row r="38" customFormat="false" ht="15" hidden="false" customHeight="false" outlineLevel="0" collapsed="false">
      <c r="A38" s="6" t="s">
        <v>59</v>
      </c>
      <c r="B38" s="10" t="n">
        <f aca="false">AVERAGE(Monthly_Feedback!$H$2:$H$17)</f>
        <v>3.5</v>
      </c>
      <c r="C38" s="6"/>
    </row>
    <row r="39" customFormat="false" ht="15" hidden="false" customHeight="false" outlineLevel="0" collapsed="false">
      <c r="A39" s="6" t="s">
        <v>60</v>
      </c>
      <c r="B39" s="8" t="n">
        <f aca="false">COUNTIF(Monthly_Feedback!$O$2:$O$17,"Yes")/COUNTA(Monthly_Feedback!$O$2:$O$17)</f>
        <v>0.875</v>
      </c>
      <c r="C39" s="6"/>
    </row>
    <row r="40" customFormat="false" ht="15" hidden="false" customHeight="false" outlineLevel="0" collapsed="false">
      <c r="A40" s="6" t="s">
        <v>61</v>
      </c>
      <c r="B40" s="11" t="n">
        <f aca="false">SUM(Households!$F$2:$F$17)</f>
        <v>17250</v>
      </c>
      <c r="C40" s="6" t="s">
        <v>62</v>
      </c>
    </row>
    <row r="41" customFormat="false" ht="15" hidden="false" customHeight="false" outlineLevel="0" collapsed="false">
      <c r="A41" s="6" t="s">
        <v>63</v>
      </c>
      <c r="B41" s="11" t="n">
        <f aca="false">SUM(Monthly_Feedback!$D$2:$D$17)</f>
        <v>8300</v>
      </c>
      <c r="C41" s="6" t="s">
        <v>64</v>
      </c>
    </row>
    <row r="42" customFormat="false" ht="15" hidden="false" customHeight="false" outlineLevel="0" collapsed="false">
      <c r="A42" s="6" t="s">
        <v>65</v>
      </c>
      <c r="B42" s="8" t="n">
        <f aca="false">(B40-B41)/B40</f>
        <v>0.518840579710145</v>
      </c>
      <c r="C42" s="6" t="s">
        <v>66</v>
      </c>
    </row>
    <row r="44" customFormat="false" ht="15" hidden="false" customHeight="false" outlineLevel="0" collapsed="false">
      <c r="A44" s="12" t="s">
        <v>67</v>
      </c>
    </row>
    <row r="45" customFormat="false" ht="15" hidden="false" customHeight="false" outlineLevel="0" collapsed="false">
      <c r="A45" s="13" t="s">
        <v>68</v>
      </c>
      <c r="B45" s="13" t="s">
        <v>69</v>
      </c>
      <c r="C45" s="13" t="s">
        <v>70</v>
      </c>
      <c r="D45" s="13" t="s">
        <v>71</v>
      </c>
    </row>
    <row r="46" customFormat="false" ht="15" hidden="false" customHeight="false" outlineLevel="0" collapsed="false">
      <c r="A46" s="14" t="s">
        <v>72</v>
      </c>
      <c r="B46" s="6" t="n">
        <f aca="false">COUNTIFS(Cooking_Sessions!$V$2:$V$80,A46)</f>
        <v>18</v>
      </c>
      <c r="C46" s="9" t="n">
        <f aca="false">IFERROR(AVERAGEIFS(Cooking_Sessions!$I$2:$I$80,Cooking_Sessions!$V$2:$V$80,A46,Cooking_Sessions!$M$2:$M$80,"Yes"),"n/a")</f>
        <v>51.9444444444444</v>
      </c>
      <c r="D46" s="9" t="n">
        <f aca="false">IFERROR(AVERAGEIFS(Cooking_Sessions!$U$2:$U$80,Cooking_Sessions!$V$2:$V$80,A46,Cooking_Sessions!$M$2:$M$80,"Yes"),"n/a")</f>
        <v>17.3055555555556</v>
      </c>
    </row>
    <row r="47" customFormat="false" ht="15" hidden="false" customHeight="false" outlineLevel="0" collapsed="false">
      <c r="A47" s="14" t="s">
        <v>73</v>
      </c>
      <c r="B47" s="6" t="n">
        <f aca="false">COUNTIFS(Cooking_Sessions!$V$2:$V$80,A47)</f>
        <v>32</v>
      </c>
      <c r="C47" s="9" t="n">
        <f aca="false">IFERROR(AVERAGEIFS(Cooking_Sessions!$I$2:$I$80,Cooking_Sessions!$V$2:$V$80,A47,Cooking_Sessions!$M$2:$M$80,"Yes"),"n/a")</f>
        <v>57.8125</v>
      </c>
      <c r="D47" s="9" t="n">
        <f aca="false">IFERROR(AVERAGEIFS(Cooking_Sessions!$U$2:$U$80,Cooking_Sessions!$V$2:$V$80,A47,Cooking_Sessions!$M$2:$M$80,"Yes"),"n/a")</f>
        <v>12.971875</v>
      </c>
    </row>
    <row r="48" customFormat="false" ht="15" hidden="false" customHeight="false" outlineLevel="0" collapsed="false">
      <c r="A48" s="14" t="s">
        <v>74</v>
      </c>
      <c r="B48" s="6" t="n">
        <f aca="false">COUNTIFS(Cooking_Sessions!$V$2:$V$80,A48)</f>
        <v>25</v>
      </c>
      <c r="C48" s="9" t="n">
        <f aca="false">IFERROR(AVERAGEIFS(Cooking_Sessions!$I$2:$I$80,Cooking_Sessions!$V$2:$V$80,A48,Cooking_Sessions!$M$2:$M$80,"Yes"),"n/a")</f>
        <v>64.7916666666667</v>
      </c>
      <c r="D48" s="9" t="n">
        <f aca="false">IFERROR(AVERAGEIFS(Cooking_Sessions!$U$2:$U$80,Cooking_Sessions!$V$2:$V$80,A48,Cooking_Sessions!$M$2:$M$80,"Yes"),"n/a")</f>
        <v>10.1625</v>
      </c>
    </row>
    <row r="49" customFormat="false" ht="15" hidden="false" customHeight="false" outlineLevel="0" collapsed="false">
      <c r="A49" s="14" t="s">
        <v>75</v>
      </c>
      <c r="B49" s="6" t="n">
        <f aca="false">COUNTIFS(Cooking_Sessions!$V$2:$V$80,A49)</f>
        <v>4</v>
      </c>
      <c r="C49" s="9" t="n">
        <f aca="false">IFERROR(AVERAGEIFS(Cooking_Sessions!$I$2:$I$80,Cooking_Sessions!$V$2:$V$80,A49,Cooking_Sessions!$M$2:$M$80,"Yes"),"n/a")</f>
        <v>73.75</v>
      </c>
      <c r="D49" s="9" t="n">
        <f aca="false">IFERROR(AVERAGEIFS(Cooking_Sessions!$U$2:$U$80,Cooking_Sessions!$V$2:$V$80,A49,Cooking_Sessions!$M$2:$M$80,"Yes"),"n/a")</f>
        <v>9.2</v>
      </c>
    </row>
    <row r="51" customFormat="false" ht="15" hidden="false" customHeight="false" outlineLevel="0" collapsed="false">
      <c r="A51" s="12" t="s">
        <v>76</v>
      </c>
    </row>
    <row r="52" customFormat="false" ht="15" hidden="false" customHeight="false" outlineLevel="0" collapsed="false">
      <c r="A52" s="13" t="s">
        <v>77</v>
      </c>
      <c r="B52" s="13" t="s">
        <v>69</v>
      </c>
      <c r="C52" s="13" t="s">
        <v>70</v>
      </c>
      <c r="D52" s="13" t="s">
        <v>78</v>
      </c>
    </row>
    <row r="53" customFormat="false" ht="15" hidden="false" customHeight="false" outlineLevel="0" collapsed="false">
      <c r="A53" s="14" t="s">
        <v>79</v>
      </c>
      <c r="B53" s="6" t="n">
        <f aca="false">COUNTIFS(Cooking_Sessions!$L$2:$L$80,A53)</f>
        <v>47</v>
      </c>
      <c r="C53" s="9" t="n">
        <f aca="false">IFERROR(AVERAGEIFS(Cooking_Sessions!$I$2:$I$80,Cooking_Sessions!$L$2:$L$80,A53,Cooking_Sessions!$M$2:$M$80,"Yes"),"n/a")</f>
        <v>55.6382978723404</v>
      </c>
      <c r="D53" s="8" t="n">
        <f aca="false">IFERROR(COUNTIFS(Cooking_Sessions!$L$2:$L$80,A53,Cooking_Sessions!$Q$2:$Q$80,"Yes")/B53,0)</f>
        <v>0.127659574468085</v>
      </c>
    </row>
    <row r="54" customFormat="false" ht="15" hidden="false" customHeight="false" outlineLevel="0" collapsed="false">
      <c r="A54" s="14" t="s">
        <v>80</v>
      </c>
      <c r="B54" s="6" t="n">
        <f aca="false">COUNTIFS(Cooking_Sessions!$L$2:$L$80,A54)</f>
        <v>20</v>
      </c>
      <c r="C54" s="9" t="n">
        <f aca="false">IFERROR(AVERAGEIFS(Cooking_Sessions!$I$2:$I$80,Cooking_Sessions!$L$2:$L$80,A54,Cooking_Sessions!$M$2:$M$80,"Yes"),"n/a")</f>
        <v>67.1052631578947</v>
      </c>
      <c r="D54" s="8" t="n">
        <f aca="false">IFERROR(COUNTIFS(Cooking_Sessions!$L$2:$L$80,A54,Cooking_Sessions!$Q$2:$Q$80,"Yes")/B54,0)</f>
        <v>0.15</v>
      </c>
    </row>
    <row r="55" customFormat="false" ht="15" hidden="false" customHeight="false" outlineLevel="0" collapsed="false">
      <c r="A55" s="14" t="s">
        <v>81</v>
      </c>
      <c r="B55" s="6" t="n">
        <f aca="false">COUNTIFS(Cooking_Sessions!$L$2:$L$80,A55)</f>
        <v>12</v>
      </c>
      <c r="C55" s="9" t="n">
        <f aca="false">IFERROR(AVERAGEIFS(Cooking_Sessions!$I$2:$I$80,Cooking_Sessions!$L$2:$L$80,A55,Cooking_Sessions!$M$2:$M$80,"Yes"),"n/a")</f>
        <v>62.0833333333333</v>
      </c>
      <c r="D55" s="8" t="n">
        <f aca="false">IFERROR(COUNTIFS(Cooking_Sessions!$L$2:$L$80,A55,Cooking_Sessions!$Q$2:$Q$80,"Yes")/B55,0)</f>
        <v>0.166666666666667</v>
      </c>
    </row>
    <row r="57" customFormat="false" ht="15" hidden="false" customHeight="false" outlineLevel="0" collapsed="false">
      <c r="A57" s="12" t="s">
        <v>82</v>
      </c>
    </row>
    <row r="58" customFormat="false" ht="15" hidden="false" customHeight="false" outlineLevel="0" collapsed="false">
      <c r="A58" s="13" t="s">
        <v>83</v>
      </c>
      <c r="B58" s="13" t="s">
        <v>84</v>
      </c>
    </row>
    <row r="59" customFormat="false" ht="15" hidden="false" customHeight="false" outlineLevel="0" collapsed="false">
      <c r="A59" s="14" t="s">
        <v>85</v>
      </c>
      <c r="B59" s="6" t="n">
        <f aca="false">COUNTIF(Session_Dishes!$B$2:$B$164,A59)</f>
        <v>71</v>
      </c>
    </row>
    <row r="60" customFormat="false" ht="15" hidden="false" customHeight="false" outlineLevel="0" collapsed="false">
      <c r="A60" s="14" t="s">
        <v>86</v>
      </c>
      <c r="B60" s="6" t="n">
        <f aca="false">COUNTIF(Session_Dishes!$B$2:$B$164,A60)</f>
        <v>33</v>
      </c>
    </row>
    <row r="61" customFormat="false" ht="15" hidden="false" customHeight="false" outlineLevel="0" collapsed="false">
      <c r="A61" s="14" t="s">
        <v>87</v>
      </c>
      <c r="B61" s="6" t="n">
        <f aca="false">COUNTIF(Session_Dishes!$B$2:$B$164,A61)</f>
        <v>19</v>
      </c>
    </row>
    <row r="62" customFormat="false" ht="15" hidden="false" customHeight="false" outlineLevel="0" collapsed="false">
      <c r="A62" s="14" t="s">
        <v>88</v>
      </c>
      <c r="B62" s="6" t="n">
        <f aca="false">COUNTIF(Session_Dishes!$B$2:$B$164,A62)</f>
        <v>11</v>
      </c>
    </row>
    <row r="63" customFormat="false" ht="15" hidden="false" customHeight="false" outlineLevel="0" collapsed="false">
      <c r="A63" s="14" t="s">
        <v>89</v>
      </c>
      <c r="B63" s="6" t="n">
        <f aca="false">COUNTIF(Session_Dishes!$B$2:$B$164,A63)</f>
        <v>9</v>
      </c>
    </row>
    <row r="64" customFormat="false" ht="15" hidden="false" customHeight="false" outlineLevel="0" collapsed="false">
      <c r="A64" s="14" t="s">
        <v>90</v>
      </c>
      <c r="B64" s="6" t="n">
        <f aca="false">COUNTIF(Session_Dishes!$B$2:$B$164,A64)</f>
        <v>12</v>
      </c>
    </row>
    <row r="65" customFormat="false" ht="15" hidden="false" customHeight="false" outlineLevel="0" collapsed="false">
      <c r="A65" s="14" t="s">
        <v>91</v>
      </c>
      <c r="B65" s="6" t="n">
        <f aca="false">COUNTIF(Session_Dishes!$B$2:$B$164,A65)</f>
        <v>8</v>
      </c>
    </row>
    <row r="66" customFormat="false" ht="15" hidden="false" customHeight="false" outlineLevel="0" collapsed="false">
      <c r="A66" s="14" t="s">
        <v>92</v>
      </c>
      <c r="B66" s="6" t="n">
        <f aca="false">COUNTIF(Session_Dishes!$B$2:$B$164,A66)</f>
        <v>0</v>
      </c>
    </row>
    <row r="68" customFormat="false" ht="15" hidden="false" customHeight="false" outlineLevel="0" collapsed="false">
      <c r="A68" s="12" t="s">
        <v>93</v>
      </c>
    </row>
    <row r="69" customFormat="false" ht="15" hidden="false" customHeight="false" outlineLevel="0" collapsed="false">
      <c r="A69" s="13" t="s">
        <v>94</v>
      </c>
      <c r="B69" s="13" t="s">
        <v>69</v>
      </c>
    </row>
    <row r="70" customFormat="false" ht="15" hidden="false" customHeight="false" outlineLevel="0" collapsed="false">
      <c r="A70" s="14" t="s">
        <v>95</v>
      </c>
      <c r="B70" s="6" t="n">
        <f aca="false">COUNTIF(Cooking_Sessions!$K$2:$K$80,A70)</f>
        <v>25</v>
      </c>
    </row>
    <row r="71" customFormat="false" ht="15" hidden="false" customHeight="false" outlineLevel="0" collapsed="false">
      <c r="A71" s="14" t="s">
        <v>96</v>
      </c>
      <c r="B71" s="6" t="n">
        <f aca="false">COUNTIF(Cooking_Sessions!$K$2:$K$80,A71)</f>
        <v>49</v>
      </c>
    </row>
    <row r="72" customFormat="false" ht="15" hidden="false" customHeight="false" outlineLevel="0" collapsed="false">
      <c r="A72" s="14" t="s">
        <v>97</v>
      </c>
      <c r="B72" s="6" t="n">
        <f aca="false">COUNTIF(Cooking_Sessions!$K$2:$K$80,A72)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5" t="s">
        <v>98</v>
      </c>
    </row>
    <row r="2" customFormat="false" ht="15" hidden="false" customHeight="false" outlineLevel="0" collapsed="false">
      <c r="A2" s="16" t="s">
        <v>99</v>
      </c>
    </row>
    <row r="3" customFormat="false" ht="15" hidden="false" customHeight="false" outlineLevel="0" collapsed="false">
      <c r="A3" s="16"/>
    </row>
    <row r="4" customFormat="false" ht="23.85" hidden="false" customHeight="false" outlineLevel="0" collapsed="false">
      <c r="A4" s="17" t="s">
        <v>100</v>
      </c>
    </row>
    <row r="5" customFormat="false" ht="15" hidden="false" customHeight="false" outlineLevel="0" collapsed="false">
      <c r="A5" s="16"/>
    </row>
    <row r="6" customFormat="false" ht="15" hidden="false" customHeight="false" outlineLevel="0" collapsed="false">
      <c r="A6" s="17" t="s">
        <v>101</v>
      </c>
    </row>
    <row r="7" customFormat="false" ht="15" hidden="false" customHeight="false" outlineLevel="0" collapsed="false">
      <c r="A7" s="16" t="s">
        <v>102</v>
      </c>
    </row>
    <row r="8" customFormat="false" ht="15" hidden="false" customHeight="false" outlineLevel="0" collapsed="false">
      <c r="A8" s="16" t="s">
        <v>103</v>
      </c>
    </row>
    <row r="9" customFormat="false" ht="15" hidden="false" customHeight="false" outlineLevel="0" collapsed="false">
      <c r="A9" s="16" t="s">
        <v>104</v>
      </c>
    </row>
    <row r="10" customFormat="false" ht="15" hidden="false" customHeight="false" outlineLevel="0" collapsed="false">
      <c r="A10" s="16" t="s">
        <v>105</v>
      </c>
    </row>
    <row r="11" customFormat="false" ht="15" hidden="false" customHeight="false" outlineLevel="0" collapsed="false">
      <c r="A11" s="16" t="s">
        <v>106</v>
      </c>
    </row>
    <row r="12" customFormat="false" ht="15" hidden="false" customHeight="false" outlineLevel="0" collapsed="false">
      <c r="A12" s="16" t="s">
        <v>107</v>
      </c>
    </row>
    <row r="13" customFormat="false" ht="15" hidden="false" customHeight="false" outlineLevel="0" collapsed="false">
      <c r="A13" s="16" t="s">
        <v>108</v>
      </c>
    </row>
    <row r="14" customFormat="false" ht="15" hidden="false" customHeight="false" outlineLevel="0" collapsed="false">
      <c r="A14" s="16"/>
    </row>
    <row r="15" customFormat="false" ht="15" hidden="false" customHeight="false" outlineLevel="0" collapsed="false">
      <c r="A15" s="17" t="s">
        <v>109</v>
      </c>
    </row>
    <row r="16" customFormat="false" ht="15" hidden="false" customHeight="false" outlineLevel="0" collapsed="false">
      <c r="A16" s="16" t="s">
        <v>110</v>
      </c>
    </row>
    <row r="17" customFormat="false" ht="15" hidden="false" customHeight="false" outlineLevel="0" collapsed="false">
      <c r="A17" s="16" t="s">
        <v>111</v>
      </c>
    </row>
    <row r="18" customFormat="false" ht="15" hidden="false" customHeight="false" outlineLevel="0" collapsed="false">
      <c r="A18" s="16"/>
    </row>
    <row r="19" customFormat="false" ht="15" hidden="false" customHeight="false" outlineLevel="0" collapsed="false">
      <c r="A19" s="17" t="s">
        <v>112</v>
      </c>
    </row>
    <row r="20" customFormat="false" ht="15" hidden="false" customHeight="false" outlineLevel="0" collapsed="false">
      <c r="A20" s="16" t="s">
        <v>113</v>
      </c>
    </row>
    <row r="21" customFormat="false" ht="15" hidden="false" customHeight="false" outlineLevel="0" collapsed="false">
      <c r="A21" s="16" t="s">
        <v>114</v>
      </c>
    </row>
    <row r="22" customFormat="false" ht="15" hidden="false" customHeight="false" outlineLevel="0" collapsed="false">
      <c r="A22" s="1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18" t="s">
        <v>116</v>
      </c>
      <c r="B1" s="18" t="s">
        <v>3</v>
      </c>
      <c r="C1" s="18" t="s">
        <v>117</v>
      </c>
    </row>
    <row r="2" customFormat="false" ht="15" hidden="false" customHeight="false" outlineLevel="0" collapsed="false">
      <c r="A2" s="19" t="s">
        <v>118</v>
      </c>
      <c r="B2" s="19" t="s">
        <v>119</v>
      </c>
      <c r="C2" s="19" t="s">
        <v>120</v>
      </c>
    </row>
    <row r="3" customFormat="false" ht="15" hidden="false" customHeight="false" outlineLevel="0" collapsed="false">
      <c r="A3" s="19" t="s">
        <v>121</v>
      </c>
      <c r="B3" s="19" t="n">
        <v>4</v>
      </c>
      <c r="C3" s="19" t="s">
        <v>122</v>
      </c>
    </row>
    <row r="4" customFormat="false" ht="15" hidden="false" customHeight="false" outlineLevel="0" collapsed="false">
      <c r="A4" s="19" t="s">
        <v>123</v>
      </c>
      <c r="B4" s="19" t="n">
        <v>10</v>
      </c>
      <c r="C4" s="19" t="s">
        <v>124</v>
      </c>
    </row>
    <row r="5" customFormat="false" ht="15" hidden="false" customHeight="false" outlineLevel="0" collapsed="false">
      <c r="A5" s="19" t="s">
        <v>125</v>
      </c>
      <c r="B5" s="19" t="n">
        <v>0.75</v>
      </c>
      <c r="C5" s="19" t="s">
        <v>126</v>
      </c>
    </row>
    <row r="6" customFormat="false" ht="15" hidden="false" customHeight="false" outlineLevel="0" collapsed="false">
      <c r="A6" s="19" t="s">
        <v>127</v>
      </c>
      <c r="B6" s="19" t="n">
        <v>4.5</v>
      </c>
      <c r="C6" s="19" t="s">
        <v>128</v>
      </c>
    </row>
    <row r="7" customFormat="false" ht="15" hidden="false" customHeight="false" outlineLevel="0" collapsed="false">
      <c r="A7" s="19" t="s">
        <v>129</v>
      </c>
      <c r="B7" s="19" t="n">
        <v>13</v>
      </c>
      <c r="C7" s="19" t="s">
        <v>130</v>
      </c>
    </row>
    <row r="8" customFormat="false" ht="15" hidden="false" customHeight="false" outlineLevel="0" collapsed="false">
      <c r="A8" s="19" t="s">
        <v>131</v>
      </c>
      <c r="B8" s="19" t="n">
        <v>16</v>
      </c>
      <c r="C8" s="19" t="s">
        <v>132</v>
      </c>
    </row>
    <row r="9" customFormat="false" ht="15" hidden="false" customHeight="false" outlineLevel="0" collapsed="false">
      <c r="A9" s="19" t="s">
        <v>133</v>
      </c>
      <c r="B9" s="19" t="n">
        <v>6</v>
      </c>
      <c r="C9" s="19" t="s">
        <v>134</v>
      </c>
    </row>
    <row r="10" customFormat="false" ht="15" hidden="false" customHeight="false" outlineLevel="0" collapsed="false">
      <c r="A10" s="19" t="s">
        <v>135</v>
      </c>
      <c r="B10" s="19" t="n">
        <v>0.6</v>
      </c>
      <c r="C10" s="19" t="s">
        <v>136</v>
      </c>
    </row>
    <row r="11" customFormat="false" ht="15" hidden="false" customHeight="false" outlineLevel="0" collapsed="false">
      <c r="A11" s="19" t="s">
        <v>137</v>
      </c>
      <c r="B11" s="19" t="n">
        <v>10</v>
      </c>
      <c r="C11" s="19" t="s">
        <v>138</v>
      </c>
    </row>
    <row r="12" customFormat="false" ht="15" hidden="false" customHeight="false" outlineLevel="0" collapsed="false">
      <c r="A12" s="19" t="s">
        <v>139</v>
      </c>
      <c r="B12" s="20" t="n">
        <v>46280</v>
      </c>
      <c r="C12" s="19" t="s">
        <v>140</v>
      </c>
    </row>
    <row r="13" customFormat="false" ht="15" hidden="false" customHeight="false" outlineLevel="0" collapsed="false">
      <c r="A13" s="19" t="s">
        <v>141</v>
      </c>
      <c r="B13" s="20" t="n">
        <v>46293</v>
      </c>
      <c r="C13" s="19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</cols>
  <sheetData>
    <row r="1" customFormat="false" ht="31.5" hidden="false" customHeight="true" outlineLevel="0" collapsed="false">
      <c r="A1" s="18" t="s">
        <v>143</v>
      </c>
      <c r="B1" s="18" t="s">
        <v>144</v>
      </c>
    </row>
    <row r="2" customFormat="false" ht="15" hidden="false" customHeight="false" outlineLevel="0" collapsed="false">
      <c r="A2" s="19" t="s">
        <v>145</v>
      </c>
      <c r="B2" s="19" t="n">
        <v>1</v>
      </c>
    </row>
    <row r="3" customFormat="false" ht="15" hidden="false" customHeight="false" outlineLevel="0" collapsed="false">
      <c r="A3" s="19" t="s">
        <v>146</v>
      </c>
      <c r="B3" s="19" t="n">
        <v>0.65</v>
      </c>
    </row>
    <row r="4" customFormat="false" ht="15" hidden="false" customHeight="false" outlineLevel="0" collapsed="false">
      <c r="A4" s="19" t="s">
        <v>147</v>
      </c>
      <c r="B4" s="19" t="n">
        <v>0.35</v>
      </c>
    </row>
    <row r="5" customFormat="false" ht="15" hidden="false" customHeight="false" outlineLevel="0" collapsed="false">
      <c r="A5" s="19" t="s">
        <v>148</v>
      </c>
      <c r="B5" s="19" t="n">
        <v>0.2</v>
      </c>
    </row>
    <row r="6" customFormat="false" ht="15" hidden="false" customHeight="false" outlineLevel="0" collapsed="false">
      <c r="A6" s="19" t="s">
        <v>149</v>
      </c>
      <c r="B6" s="19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</cols>
  <sheetData>
    <row r="1" customFormat="false" ht="31.5" hidden="false" customHeight="true" outlineLevel="0" collapsed="false">
      <c r="A1" s="18" t="s">
        <v>150</v>
      </c>
      <c r="B1" s="18" t="s">
        <v>94</v>
      </c>
      <c r="C1" s="18" t="s">
        <v>151</v>
      </c>
    </row>
    <row r="2" customFormat="false" ht="15" hidden="false" customHeight="false" outlineLevel="0" collapsed="false">
      <c r="A2" s="19" t="n">
        <v>1</v>
      </c>
      <c r="B2" s="19" t="s">
        <v>95</v>
      </c>
      <c r="C2" s="19" t="n">
        <v>2</v>
      </c>
    </row>
    <row r="3" customFormat="false" ht="15" hidden="false" customHeight="false" outlineLevel="0" collapsed="false">
      <c r="A3" s="19" t="n">
        <v>2</v>
      </c>
      <c r="B3" s="19" t="s">
        <v>96</v>
      </c>
      <c r="C3" s="19" t="n">
        <v>1</v>
      </c>
    </row>
    <row r="4" customFormat="false" ht="15" hidden="false" customHeight="false" outlineLevel="0" collapsed="false">
      <c r="A4" s="19" t="n">
        <v>3</v>
      </c>
      <c r="B4" s="19" t="s">
        <v>97</v>
      </c>
      <c r="C4" s="19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</cols>
  <sheetData>
    <row r="1" customFormat="false" ht="31.5" hidden="false" customHeight="true" outlineLevel="0" collapsed="false">
      <c r="A1" s="18" t="s">
        <v>150</v>
      </c>
      <c r="B1" s="18" t="s">
        <v>83</v>
      </c>
    </row>
    <row r="2" customFormat="false" ht="15" hidden="false" customHeight="false" outlineLevel="0" collapsed="false">
      <c r="A2" s="19" t="n">
        <v>1</v>
      </c>
      <c r="B2" s="19" t="s">
        <v>85</v>
      </c>
    </row>
    <row r="3" customFormat="false" ht="15" hidden="false" customHeight="false" outlineLevel="0" collapsed="false">
      <c r="A3" s="19" t="n">
        <v>2</v>
      </c>
      <c r="B3" s="19" t="s">
        <v>86</v>
      </c>
    </row>
    <row r="4" customFormat="false" ht="15" hidden="false" customHeight="false" outlineLevel="0" collapsed="false">
      <c r="A4" s="19" t="n">
        <v>3</v>
      </c>
      <c r="B4" s="19" t="s">
        <v>87</v>
      </c>
    </row>
    <row r="5" customFormat="false" ht="15" hidden="false" customHeight="false" outlineLevel="0" collapsed="false">
      <c r="A5" s="19" t="n">
        <v>4</v>
      </c>
      <c r="B5" s="19" t="s">
        <v>88</v>
      </c>
    </row>
    <row r="6" customFormat="false" ht="15" hidden="false" customHeight="false" outlineLevel="0" collapsed="false">
      <c r="A6" s="19" t="n">
        <v>5</v>
      </c>
      <c r="B6" s="19" t="s">
        <v>89</v>
      </c>
    </row>
    <row r="7" customFormat="false" ht="15" hidden="false" customHeight="false" outlineLevel="0" collapsed="false">
      <c r="A7" s="19" t="n">
        <v>6</v>
      </c>
      <c r="B7" s="19" t="s">
        <v>90</v>
      </c>
    </row>
    <row r="8" customFormat="false" ht="15" hidden="false" customHeight="false" outlineLevel="0" collapsed="false">
      <c r="A8" s="19" t="n">
        <v>7</v>
      </c>
      <c r="B8" s="19" t="s">
        <v>91</v>
      </c>
    </row>
    <row r="9" customFormat="false" ht="15" hidden="false" customHeight="false" outlineLevel="0" collapsed="false">
      <c r="A9" s="19" t="n">
        <v>8</v>
      </c>
      <c r="B9" s="1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31.5" hidden="false" customHeight="true" outlineLevel="0" collapsed="false">
      <c r="A1" s="18" t="s">
        <v>150</v>
      </c>
      <c r="B1" s="18" t="s">
        <v>152</v>
      </c>
      <c r="C1" s="18" t="s">
        <v>153</v>
      </c>
    </row>
    <row r="2" customFormat="false" ht="15" hidden="false" customHeight="false" outlineLevel="0" collapsed="false">
      <c r="A2" s="19" t="n">
        <v>1</v>
      </c>
      <c r="B2" s="19" t="s">
        <v>154</v>
      </c>
      <c r="C2" s="19" t="s">
        <v>155</v>
      </c>
    </row>
    <row r="3" customFormat="false" ht="15" hidden="false" customHeight="false" outlineLevel="0" collapsed="false">
      <c r="A3" s="19" t="n">
        <v>2</v>
      </c>
      <c r="B3" s="19" t="s">
        <v>154</v>
      </c>
      <c r="C3" s="19" t="s">
        <v>156</v>
      </c>
    </row>
    <row r="4" customFormat="false" ht="15" hidden="false" customHeight="false" outlineLevel="0" collapsed="false">
      <c r="A4" s="19" t="n">
        <v>3</v>
      </c>
      <c r="B4" s="19" t="s">
        <v>154</v>
      </c>
      <c r="C4" s="19" t="s">
        <v>157</v>
      </c>
    </row>
    <row r="5" customFormat="false" ht="15" hidden="false" customHeight="false" outlineLevel="0" collapsed="false">
      <c r="A5" s="19" t="n">
        <v>4</v>
      </c>
      <c r="B5" s="19" t="s">
        <v>158</v>
      </c>
      <c r="C5" s="19" t="s">
        <v>159</v>
      </c>
    </row>
    <row r="6" customFormat="false" ht="15" hidden="false" customHeight="false" outlineLevel="0" collapsed="false">
      <c r="A6" s="19" t="n">
        <v>5</v>
      </c>
      <c r="B6" s="19" t="s">
        <v>158</v>
      </c>
      <c r="C6" s="19" t="s">
        <v>160</v>
      </c>
    </row>
    <row r="7" customFormat="false" ht="15" hidden="false" customHeight="false" outlineLevel="0" collapsed="false">
      <c r="A7" s="19" t="n">
        <v>6</v>
      </c>
      <c r="B7" s="19" t="s">
        <v>158</v>
      </c>
      <c r="C7" s="19" t="s">
        <v>161</v>
      </c>
    </row>
    <row r="8" customFormat="false" ht="15" hidden="false" customHeight="false" outlineLevel="0" collapsed="false">
      <c r="A8" s="19" t="n">
        <v>7</v>
      </c>
      <c r="B8" s="19" t="s">
        <v>158</v>
      </c>
      <c r="C8" s="1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8" t="s">
        <v>150</v>
      </c>
      <c r="B1" s="18" t="s">
        <v>162</v>
      </c>
      <c r="C1" s="18" t="s">
        <v>163</v>
      </c>
      <c r="D1" s="18" t="s">
        <v>164</v>
      </c>
      <c r="E1" s="18" t="s">
        <v>165</v>
      </c>
      <c r="F1" s="18" t="s">
        <v>166</v>
      </c>
    </row>
    <row r="2" customFormat="false" ht="15" hidden="false" customHeight="false" outlineLevel="0" collapsed="false">
      <c r="A2" s="19" t="n">
        <v>1</v>
      </c>
      <c r="B2" s="19" t="s">
        <v>167</v>
      </c>
      <c r="C2" s="19" t="s">
        <v>168</v>
      </c>
      <c r="D2" s="19" t="s">
        <v>169</v>
      </c>
      <c r="E2" s="19" t="s">
        <v>170</v>
      </c>
      <c r="F2" s="19" t="s">
        <v>171</v>
      </c>
    </row>
    <row r="3" customFormat="false" ht="15" hidden="false" customHeight="false" outlineLevel="0" collapsed="false">
      <c r="A3" s="19" t="n">
        <v>2</v>
      </c>
      <c r="B3" s="19" t="s">
        <v>172</v>
      </c>
      <c r="C3" s="19" t="s">
        <v>173</v>
      </c>
      <c r="D3" s="19" t="s">
        <v>174</v>
      </c>
      <c r="E3" s="19" t="s">
        <v>170</v>
      </c>
      <c r="F3" s="19" t="s">
        <v>171</v>
      </c>
    </row>
    <row r="4" customFormat="false" ht="15" hidden="false" customHeight="false" outlineLevel="0" collapsed="false">
      <c r="A4" s="19" t="n">
        <v>3</v>
      </c>
      <c r="B4" s="19" t="s">
        <v>175</v>
      </c>
      <c r="C4" s="19" t="s">
        <v>176</v>
      </c>
      <c r="D4" s="19" t="s">
        <v>177</v>
      </c>
      <c r="E4" s="19" t="s">
        <v>170</v>
      </c>
      <c r="F4" s="19" t="s">
        <v>171</v>
      </c>
    </row>
    <row r="5" customFormat="false" ht="15" hidden="false" customHeight="false" outlineLevel="0" collapsed="false">
      <c r="A5" s="19" t="n">
        <v>4</v>
      </c>
      <c r="B5" s="19" t="s">
        <v>178</v>
      </c>
      <c r="C5" s="19" t="s">
        <v>179</v>
      </c>
      <c r="D5" s="19" t="s">
        <v>177</v>
      </c>
      <c r="E5" s="19" t="s">
        <v>170</v>
      </c>
      <c r="F5" s="19" t="s">
        <v>171</v>
      </c>
    </row>
    <row r="6" customFormat="false" ht="15" hidden="false" customHeight="false" outlineLevel="0" collapsed="false">
      <c r="A6" s="19" t="n">
        <v>5</v>
      </c>
      <c r="B6" s="19" t="s">
        <v>180</v>
      </c>
      <c r="C6" s="19" t="s">
        <v>181</v>
      </c>
      <c r="D6" s="19" t="s">
        <v>158</v>
      </c>
      <c r="E6" s="19" t="s">
        <v>170</v>
      </c>
      <c r="F6" s="19" t="s">
        <v>171</v>
      </c>
    </row>
    <row r="7" customFormat="false" ht="15" hidden="false" customHeight="false" outlineLevel="0" collapsed="false">
      <c r="A7" s="19" t="n">
        <v>6</v>
      </c>
      <c r="B7" s="19" t="s">
        <v>182</v>
      </c>
      <c r="C7" s="19" t="s">
        <v>183</v>
      </c>
      <c r="D7" s="19" t="s">
        <v>184</v>
      </c>
      <c r="E7" s="19" t="s">
        <v>185</v>
      </c>
      <c r="F7" s="1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8" t="s">
        <v>186</v>
      </c>
      <c r="B1" s="18" t="s">
        <v>187</v>
      </c>
      <c r="C1" s="18" t="s">
        <v>188</v>
      </c>
      <c r="D1" s="18" t="s">
        <v>189</v>
      </c>
      <c r="E1" s="18" t="s">
        <v>190</v>
      </c>
      <c r="F1" s="18" t="s">
        <v>61</v>
      </c>
      <c r="G1" s="18" t="s">
        <v>166</v>
      </c>
      <c r="H1" s="18" t="s">
        <v>165</v>
      </c>
      <c r="I1" s="18" t="s">
        <v>191</v>
      </c>
      <c r="J1" s="18" t="s">
        <v>192</v>
      </c>
      <c r="K1" s="18" t="s">
        <v>193</v>
      </c>
    </row>
    <row r="2" customFormat="false" ht="15" hidden="false" customHeight="false" outlineLevel="0" collapsed="false">
      <c r="A2" s="19" t="s">
        <v>194</v>
      </c>
      <c r="B2" s="19" t="n">
        <v>4</v>
      </c>
      <c r="C2" s="19" t="n">
        <v>2</v>
      </c>
      <c r="D2" s="19" t="n">
        <v>2</v>
      </c>
      <c r="E2" s="19" t="s">
        <v>195</v>
      </c>
      <c r="F2" s="21" t="n">
        <v>900</v>
      </c>
      <c r="G2" s="19" t="s">
        <v>171</v>
      </c>
      <c r="H2" s="19" t="s">
        <v>170</v>
      </c>
      <c r="I2" s="20" t="n">
        <v>46266</v>
      </c>
      <c r="J2" s="22" t="n">
        <f aca="false">COUNTIF(Cooking_Sessions!$D$2:$D$80,A2)</f>
        <v>6</v>
      </c>
      <c r="K2" s="22" t="n">
        <f aca="false">COUNTIF(Slots!$G$2:$G$85,A2)</f>
        <v>6</v>
      </c>
    </row>
    <row r="3" customFormat="false" ht="15" hidden="false" customHeight="false" outlineLevel="0" collapsed="false">
      <c r="A3" s="19" t="s">
        <v>196</v>
      </c>
      <c r="B3" s="19" t="n">
        <v>6</v>
      </c>
      <c r="C3" s="19" t="n">
        <v>4</v>
      </c>
      <c r="D3" s="19" t="n">
        <v>2</v>
      </c>
      <c r="E3" s="19" t="s">
        <v>197</v>
      </c>
      <c r="F3" s="21" t="n">
        <v>1400</v>
      </c>
      <c r="G3" s="19" t="s">
        <v>171</v>
      </c>
      <c r="H3" s="19" t="s">
        <v>170</v>
      </c>
      <c r="I3" s="20" t="n">
        <v>46266</v>
      </c>
      <c r="J3" s="22" t="n">
        <f aca="false">COUNTIF(Cooking_Sessions!$D$2:$D$80,A3)</f>
        <v>5</v>
      </c>
      <c r="K3" s="22" t="n">
        <f aca="false">COUNTIF(Slots!$G$2:$G$85,A3)</f>
        <v>6</v>
      </c>
    </row>
    <row r="4" customFormat="false" ht="15" hidden="false" customHeight="false" outlineLevel="0" collapsed="false">
      <c r="A4" s="19" t="s">
        <v>198</v>
      </c>
      <c r="B4" s="19" t="n">
        <v>3</v>
      </c>
      <c r="C4" s="19" t="n">
        <v>1</v>
      </c>
      <c r="D4" s="19" t="n">
        <v>2</v>
      </c>
      <c r="E4" s="19" t="s">
        <v>195</v>
      </c>
      <c r="F4" s="21" t="n">
        <v>600</v>
      </c>
      <c r="G4" s="19" t="s">
        <v>171</v>
      </c>
      <c r="H4" s="19" t="s">
        <v>170</v>
      </c>
      <c r="I4" s="20" t="n">
        <v>46266</v>
      </c>
      <c r="J4" s="22" t="n">
        <f aca="false">COUNTIF(Cooking_Sessions!$D$2:$D$80,A4)</f>
        <v>5</v>
      </c>
      <c r="K4" s="22" t="n">
        <f aca="false">COUNTIF(Slots!$G$2:$G$85,A4)</f>
        <v>6</v>
      </c>
    </row>
    <row r="5" customFormat="false" ht="15" hidden="false" customHeight="false" outlineLevel="0" collapsed="false">
      <c r="A5" s="19" t="s">
        <v>199</v>
      </c>
      <c r="B5" s="19" t="n">
        <v>5</v>
      </c>
      <c r="C5" s="19" t="n">
        <v>3</v>
      </c>
      <c r="D5" s="19" t="n">
        <v>2</v>
      </c>
      <c r="E5" s="19" t="s">
        <v>195</v>
      </c>
      <c r="F5" s="21" t="n">
        <v>1100</v>
      </c>
      <c r="G5" s="19" t="s">
        <v>171</v>
      </c>
      <c r="H5" s="19" t="s">
        <v>170</v>
      </c>
      <c r="I5" s="20" t="n">
        <v>46266</v>
      </c>
      <c r="J5" s="22" t="n">
        <f aca="false">COUNTIF(Cooking_Sessions!$D$2:$D$80,A5)</f>
        <v>3</v>
      </c>
      <c r="K5" s="22" t="n">
        <f aca="false">COUNTIF(Slots!$G$2:$G$85,A5)</f>
        <v>3</v>
      </c>
    </row>
    <row r="6" customFormat="false" ht="15" hidden="false" customHeight="false" outlineLevel="0" collapsed="false">
      <c r="A6" s="19" t="s">
        <v>200</v>
      </c>
      <c r="B6" s="19" t="n">
        <v>7</v>
      </c>
      <c r="C6" s="19" t="n">
        <v>5</v>
      </c>
      <c r="D6" s="19" t="n">
        <v>2</v>
      </c>
      <c r="E6" s="19" t="s">
        <v>197</v>
      </c>
      <c r="F6" s="21" t="n">
        <v>1700</v>
      </c>
      <c r="G6" s="19" t="s">
        <v>171</v>
      </c>
      <c r="H6" s="19" t="s">
        <v>170</v>
      </c>
      <c r="I6" s="20" t="n">
        <v>46266</v>
      </c>
      <c r="J6" s="22" t="n">
        <f aca="false">COUNTIF(Cooking_Sessions!$D$2:$D$80,A6)</f>
        <v>5</v>
      </c>
      <c r="K6" s="22" t="n">
        <f aca="false">COUNTIF(Slots!$G$2:$G$85,A6)</f>
        <v>5</v>
      </c>
    </row>
    <row r="7" customFormat="false" ht="15" hidden="false" customHeight="false" outlineLevel="0" collapsed="false">
      <c r="A7" s="19" t="s">
        <v>201</v>
      </c>
      <c r="B7" s="19" t="n">
        <v>5</v>
      </c>
      <c r="C7" s="19" t="n">
        <v>3</v>
      </c>
      <c r="D7" s="19" t="n">
        <v>2</v>
      </c>
      <c r="E7" s="19" t="s">
        <v>195</v>
      </c>
      <c r="F7" s="21" t="n">
        <v>1000</v>
      </c>
      <c r="G7" s="19" t="s">
        <v>171</v>
      </c>
      <c r="H7" s="19" t="s">
        <v>170</v>
      </c>
      <c r="I7" s="20" t="n">
        <v>46266</v>
      </c>
      <c r="J7" s="22" t="n">
        <f aca="false">COUNTIF(Cooking_Sessions!$D$2:$D$80,A7)</f>
        <v>5</v>
      </c>
      <c r="K7" s="22" t="n">
        <f aca="false">COUNTIF(Slots!$G$2:$G$85,A7)</f>
        <v>5</v>
      </c>
    </row>
    <row r="8" customFormat="false" ht="15" hidden="false" customHeight="false" outlineLevel="0" collapsed="false">
      <c r="A8" s="19" t="s">
        <v>202</v>
      </c>
      <c r="B8" s="19" t="n">
        <v>8</v>
      </c>
      <c r="C8" s="19" t="n">
        <v>5</v>
      </c>
      <c r="D8" s="19" t="n">
        <v>3</v>
      </c>
      <c r="E8" s="19" t="s">
        <v>195</v>
      </c>
      <c r="F8" s="21" t="n">
        <v>1800</v>
      </c>
      <c r="G8" s="19" t="s">
        <v>171</v>
      </c>
      <c r="H8" s="19" t="s">
        <v>170</v>
      </c>
      <c r="I8" s="20" t="n">
        <v>46266</v>
      </c>
      <c r="J8" s="22" t="n">
        <f aca="false">COUNTIF(Cooking_Sessions!$D$2:$D$80,A8)</f>
        <v>6</v>
      </c>
      <c r="K8" s="22" t="n">
        <f aca="false">COUNTIF(Slots!$G$2:$G$85,A8)</f>
        <v>6</v>
      </c>
    </row>
    <row r="9" customFormat="false" ht="15" hidden="false" customHeight="false" outlineLevel="0" collapsed="false">
      <c r="A9" s="19" t="s">
        <v>203</v>
      </c>
      <c r="B9" s="19" t="n">
        <v>4</v>
      </c>
      <c r="C9" s="19" t="n">
        <v>2</v>
      </c>
      <c r="D9" s="19" t="n">
        <v>2</v>
      </c>
      <c r="E9" s="19" t="s">
        <v>197</v>
      </c>
      <c r="F9" s="21" t="n">
        <v>800</v>
      </c>
      <c r="G9" s="19" t="s">
        <v>171</v>
      </c>
      <c r="H9" s="19" t="s">
        <v>170</v>
      </c>
      <c r="I9" s="20" t="n">
        <v>46266</v>
      </c>
      <c r="J9" s="22" t="n">
        <f aca="false">COUNTIF(Cooking_Sessions!$D$2:$D$80,A9)</f>
        <v>6</v>
      </c>
      <c r="K9" s="22" t="n">
        <f aca="false">COUNTIF(Slots!$G$2:$G$85,A9)</f>
        <v>6</v>
      </c>
    </row>
    <row r="10" customFormat="false" ht="15" hidden="false" customHeight="false" outlineLevel="0" collapsed="false">
      <c r="A10" s="19" t="s">
        <v>204</v>
      </c>
      <c r="B10" s="19" t="n">
        <v>6</v>
      </c>
      <c r="C10" s="19" t="n">
        <v>4</v>
      </c>
      <c r="D10" s="19" t="n">
        <v>2</v>
      </c>
      <c r="E10" s="19" t="s">
        <v>195</v>
      </c>
      <c r="F10" s="21" t="n">
        <v>1200</v>
      </c>
      <c r="G10" s="19" t="s">
        <v>171</v>
      </c>
      <c r="H10" s="19" t="s">
        <v>170</v>
      </c>
      <c r="I10" s="20" t="n">
        <v>46266</v>
      </c>
      <c r="J10" s="22" t="n">
        <f aca="false">COUNTIF(Cooking_Sessions!$D$2:$D$80,A10)</f>
        <v>6</v>
      </c>
      <c r="K10" s="22" t="n">
        <f aca="false">COUNTIF(Slots!$G$2:$G$85,A10)</f>
        <v>6</v>
      </c>
    </row>
    <row r="11" customFormat="false" ht="15" hidden="false" customHeight="false" outlineLevel="0" collapsed="false">
      <c r="A11" s="19" t="s">
        <v>205</v>
      </c>
      <c r="B11" s="19" t="n">
        <v>3</v>
      </c>
      <c r="C11" s="19" t="n">
        <v>2</v>
      </c>
      <c r="D11" s="19" t="n">
        <v>1</v>
      </c>
      <c r="E11" s="19" t="s">
        <v>195</v>
      </c>
      <c r="F11" s="21" t="n">
        <v>500</v>
      </c>
      <c r="G11" s="19" t="s">
        <v>171</v>
      </c>
      <c r="H11" s="19" t="s">
        <v>170</v>
      </c>
      <c r="I11" s="20" t="n">
        <v>46266</v>
      </c>
      <c r="J11" s="22" t="n">
        <f aca="false">COUNTIF(Cooking_Sessions!$D$2:$D$80,A11)</f>
        <v>4</v>
      </c>
      <c r="K11" s="22" t="n">
        <f aca="false">COUNTIF(Slots!$G$2:$G$85,A11)</f>
        <v>4</v>
      </c>
    </row>
    <row r="12" customFormat="false" ht="15" hidden="false" customHeight="false" outlineLevel="0" collapsed="false">
      <c r="A12" s="19" t="s">
        <v>206</v>
      </c>
      <c r="B12" s="19" t="n">
        <v>5</v>
      </c>
      <c r="C12" s="19" t="n">
        <v>3</v>
      </c>
      <c r="D12" s="19" t="n">
        <v>2</v>
      </c>
      <c r="E12" s="19" t="s">
        <v>197</v>
      </c>
      <c r="F12" s="21" t="n">
        <v>1000</v>
      </c>
      <c r="G12" s="19" t="s">
        <v>171</v>
      </c>
      <c r="H12" s="19" t="s">
        <v>170</v>
      </c>
      <c r="I12" s="20" t="n">
        <v>46266</v>
      </c>
      <c r="J12" s="22" t="n">
        <f aca="false">COUNTIF(Cooking_Sessions!$D$2:$D$80,A12)</f>
        <v>6</v>
      </c>
      <c r="K12" s="22" t="n">
        <f aca="false">COUNTIF(Slots!$G$2:$G$85,A12)</f>
        <v>6</v>
      </c>
    </row>
    <row r="13" customFormat="false" ht="15" hidden="false" customHeight="false" outlineLevel="0" collapsed="false">
      <c r="A13" s="19" t="s">
        <v>207</v>
      </c>
      <c r="B13" s="19" t="n">
        <v>7</v>
      </c>
      <c r="C13" s="19" t="n">
        <v>5</v>
      </c>
      <c r="D13" s="19" t="n">
        <v>2</v>
      </c>
      <c r="E13" s="19" t="s">
        <v>195</v>
      </c>
      <c r="F13" s="21" t="n">
        <v>1600</v>
      </c>
      <c r="G13" s="19" t="s">
        <v>171</v>
      </c>
      <c r="H13" s="19" t="s">
        <v>170</v>
      </c>
      <c r="I13" s="20" t="n">
        <v>46266</v>
      </c>
      <c r="J13" s="22" t="n">
        <f aca="false">COUNTIF(Cooking_Sessions!$D$2:$D$80,A13)</f>
        <v>4</v>
      </c>
      <c r="K13" s="22" t="n">
        <f aca="false">COUNTIF(Slots!$G$2:$G$85,A13)</f>
        <v>4</v>
      </c>
    </row>
    <row r="14" customFormat="false" ht="15" hidden="false" customHeight="false" outlineLevel="0" collapsed="false">
      <c r="A14" s="19" t="s">
        <v>208</v>
      </c>
      <c r="B14" s="19" t="n">
        <v>4</v>
      </c>
      <c r="C14" s="19" t="n">
        <v>2</v>
      </c>
      <c r="D14" s="19" t="n">
        <v>2</v>
      </c>
      <c r="E14" s="19" t="s">
        <v>195</v>
      </c>
      <c r="F14" s="21" t="n">
        <v>700</v>
      </c>
      <c r="G14" s="19" t="s">
        <v>171</v>
      </c>
      <c r="H14" s="19" t="s">
        <v>170</v>
      </c>
      <c r="I14" s="20" t="n">
        <v>46266</v>
      </c>
      <c r="J14" s="22" t="n">
        <f aca="false">COUNTIF(Cooking_Sessions!$D$2:$D$80,A14)</f>
        <v>4</v>
      </c>
      <c r="K14" s="22" t="n">
        <f aca="false">COUNTIF(Slots!$G$2:$G$85,A14)</f>
        <v>5</v>
      </c>
    </row>
    <row r="15" customFormat="false" ht="15" hidden="false" customHeight="false" outlineLevel="0" collapsed="false">
      <c r="A15" s="19" t="s">
        <v>209</v>
      </c>
      <c r="B15" s="19" t="n">
        <v>5</v>
      </c>
      <c r="C15" s="19" t="n">
        <v>2</v>
      </c>
      <c r="D15" s="19" t="n">
        <v>3</v>
      </c>
      <c r="E15" s="19" t="s">
        <v>197</v>
      </c>
      <c r="F15" s="21" t="n">
        <v>1100</v>
      </c>
      <c r="G15" s="19" t="s">
        <v>171</v>
      </c>
      <c r="H15" s="19" t="s">
        <v>170</v>
      </c>
      <c r="I15" s="20" t="n">
        <v>46266</v>
      </c>
      <c r="J15" s="22" t="n">
        <f aca="false">COUNTIF(Cooking_Sessions!$D$2:$D$80,A15)</f>
        <v>4</v>
      </c>
      <c r="K15" s="22" t="n">
        <f aca="false">COUNTIF(Slots!$G$2:$G$85,A15)</f>
        <v>6</v>
      </c>
    </row>
    <row r="16" customFormat="false" ht="15" hidden="false" customHeight="false" outlineLevel="0" collapsed="false">
      <c r="A16" s="19" t="s">
        <v>210</v>
      </c>
      <c r="B16" s="19" t="n">
        <v>6</v>
      </c>
      <c r="C16" s="19" t="n">
        <v>4</v>
      </c>
      <c r="D16" s="19" t="n">
        <v>2</v>
      </c>
      <c r="E16" s="19" t="s">
        <v>195</v>
      </c>
      <c r="F16" s="21" t="n">
        <v>1300</v>
      </c>
      <c r="G16" s="19" t="s">
        <v>171</v>
      </c>
      <c r="H16" s="19" t="s">
        <v>170</v>
      </c>
      <c r="I16" s="20" t="n">
        <v>46266</v>
      </c>
      <c r="J16" s="22" t="n">
        <f aca="false">COUNTIF(Cooking_Sessions!$D$2:$D$80,A16)</f>
        <v>5</v>
      </c>
      <c r="K16" s="22" t="n">
        <f aca="false">COUNTIF(Slots!$G$2:$G$85,A16)</f>
        <v>5</v>
      </c>
    </row>
    <row r="17" customFormat="false" ht="15" hidden="false" customHeight="false" outlineLevel="0" collapsed="false">
      <c r="A17" s="19" t="s">
        <v>211</v>
      </c>
      <c r="B17" s="19" t="n">
        <v>3</v>
      </c>
      <c r="C17" s="19" t="n">
        <v>1</v>
      </c>
      <c r="D17" s="19" t="n">
        <v>2</v>
      </c>
      <c r="E17" s="19" t="s">
        <v>195</v>
      </c>
      <c r="F17" s="21" t="n">
        <v>550</v>
      </c>
      <c r="G17" s="19" t="s">
        <v>171</v>
      </c>
      <c r="H17" s="19" t="s">
        <v>170</v>
      </c>
      <c r="I17" s="20" t="n">
        <v>46266</v>
      </c>
      <c r="J17" s="22" t="n">
        <f aca="false">COUNTIF(Cooking_Sessions!$D$2:$D$80,A17)</f>
        <v>5</v>
      </c>
      <c r="K17" s="22" t="n">
        <f aca="false">COUNTIF(Slots!$G$2:$G$85,A17)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1.5" hidden="false" customHeight="true" outlineLevel="0" collapsed="false">
      <c r="A1" s="18" t="s">
        <v>212</v>
      </c>
      <c r="B1" s="18" t="s">
        <v>213</v>
      </c>
      <c r="C1" s="18" t="s">
        <v>214</v>
      </c>
      <c r="D1" s="18" t="s">
        <v>215</v>
      </c>
      <c r="E1" s="18" t="s">
        <v>216</v>
      </c>
      <c r="F1" s="18" t="s">
        <v>77</v>
      </c>
      <c r="G1" s="18" t="s">
        <v>217</v>
      </c>
      <c r="H1" s="18" t="s">
        <v>166</v>
      </c>
      <c r="I1" s="18" t="s">
        <v>117</v>
      </c>
    </row>
    <row r="2" customFormat="false" ht="15" hidden="false" customHeight="false" outlineLevel="0" collapsed="false">
      <c r="A2" s="19" t="s">
        <v>218</v>
      </c>
      <c r="B2" s="20" t="n">
        <v>46280</v>
      </c>
      <c r="C2" s="19" t="n">
        <v>1</v>
      </c>
      <c r="D2" s="23" t="n">
        <v>0.25</v>
      </c>
      <c r="E2" s="23" t="n">
        <v>0.333333333333333</v>
      </c>
      <c r="F2" s="19" t="s">
        <v>80</v>
      </c>
      <c r="G2" s="19" t="s">
        <v>194</v>
      </c>
      <c r="H2" s="19" t="s">
        <v>219</v>
      </c>
      <c r="I2" s="19"/>
    </row>
    <row r="3" customFormat="false" ht="15" hidden="false" customHeight="false" outlineLevel="0" collapsed="false">
      <c r="A3" s="19" t="s">
        <v>220</v>
      </c>
      <c r="B3" s="20" t="n">
        <v>46280</v>
      </c>
      <c r="C3" s="19" t="n">
        <v>2</v>
      </c>
      <c r="D3" s="23" t="n">
        <v>0.333333333333333</v>
      </c>
      <c r="E3" s="23" t="n">
        <v>0.416666666666667</v>
      </c>
      <c r="F3" s="19" t="s">
        <v>79</v>
      </c>
      <c r="G3" s="19" t="s">
        <v>196</v>
      </c>
      <c r="H3" s="19" t="s">
        <v>219</v>
      </c>
      <c r="I3" s="19"/>
    </row>
    <row r="4" customFormat="false" ht="15" hidden="false" customHeight="false" outlineLevel="0" collapsed="false">
      <c r="A4" s="19" t="s">
        <v>221</v>
      </c>
      <c r="B4" s="20" t="n">
        <v>46280</v>
      </c>
      <c r="C4" s="19" t="n">
        <v>3</v>
      </c>
      <c r="D4" s="23" t="n">
        <v>0.416666666666667</v>
      </c>
      <c r="E4" s="23" t="n">
        <v>0.5</v>
      </c>
      <c r="F4" s="19" t="s">
        <v>79</v>
      </c>
      <c r="G4" s="19" t="s">
        <v>198</v>
      </c>
      <c r="H4" s="19" t="s">
        <v>222</v>
      </c>
      <c r="I4" s="19" t="s">
        <v>223</v>
      </c>
    </row>
    <row r="5" customFormat="false" ht="15" hidden="false" customHeight="false" outlineLevel="0" collapsed="false">
      <c r="A5" s="19" t="s">
        <v>224</v>
      </c>
      <c r="B5" s="20" t="n">
        <v>46280</v>
      </c>
      <c r="C5" s="19" t="n">
        <v>4</v>
      </c>
      <c r="D5" s="23" t="n">
        <v>0.5</v>
      </c>
      <c r="E5" s="23" t="n">
        <v>0.583333333333333</v>
      </c>
      <c r="F5" s="19" t="s">
        <v>79</v>
      </c>
      <c r="G5" s="19" t="s">
        <v>199</v>
      </c>
      <c r="H5" s="19" t="s">
        <v>219</v>
      </c>
      <c r="I5" s="19"/>
    </row>
    <row r="6" customFormat="false" ht="15" hidden="false" customHeight="false" outlineLevel="0" collapsed="false">
      <c r="A6" s="19" t="s">
        <v>225</v>
      </c>
      <c r="B6" s="20" t="n">
        <v>46280</v>
      </c>
      <c r="C6" s="19" t="n">
        <v>5</v>
      </c>
      <c r="D6" s="23" t="n">
        <v>0.583333333333333</v>
      </c>
      <c r="E6" s="23" t="n">
        <v>0.666666666666667</v>
      </c>
      <c r="F6" s="19" t="s">
        <v>81</v>
      </c>
      <c r="G6" s="19" t="s">
        <v>200</v>
      </c>
      <c r="H6" s="19" t="s">
        <v>219</v>
      </c>
      <c r="I6" s="19"/>
    </row>
    <row r="7" customFormat="false" ht="15" hidden="false" customHeight="false" outlineLevel="0" collapsed="false">
      <c r="A7" s="19" t="s">
        <v>226</v>
      </c>
      <c r="B7" s="20" t="n">
        <v>46280</v>
      </c>
      <c r="C7" s="19" t="n">
        <v>6</v>
      </c>
      <c r="D7" s="23" t="n">
        <v>0.6875</v>
      </c>
      <c r="E7" s="23" t="n">
        <v>0.770833333333333</v>
      </c>
      <c r="F7" s="19" t="s">
        <v>81</v>
      </c>
      <c r="G7" s="19" t="s">
        <v>201</v>
      </c>
      <c r="H7" s="19" t="s">
        <v>219</v>
      </c>
      <c r="I7" s="19"/>
    </row>
    <row r="8" customFormat="false" ht="15" hidden="false" customHeight="false" outlineLevel="0" collapsed="false">
      <c r="A8" s="19" t="s">
        <v>227</v>
      </c>
      <c r="B8" s="20" t="n">
        <v>46281</v>
      </c>
      <c r="C8" s="19" t="n">
        <v>1</v>
      </c>
      <c r="D8" s="23" t="n">
        <v>0.25</v>
      </c>
      <c r="E8" s="23" t="n">
        <v>0.333333333333333</v>
      </c>
      <c r="F8" s="19" t="s">
        <v>80</v>
      </c>
      <c r="G8" s="19" t="s">
        <v>202</v>
      </c>
      <c r="H8" s="19" t="s">
        <v>219</v>
      </c>
      <c r="I8" s="19"/>
    </row>
    <row r="9" customFormat="false" ht="15" hidden="false" customHeight="false" outlineLevel="0" collapsed="false">
      <c r="A9" s="19" t="s">
        <v>228</v>
      </c>
      <c r="B9" s="20" t="n">
        <v>46281</v>
      </c>
      <c r="C9" s="19" t="n">
        <v>2</v>
      </c>
      <c r="D9" s="23" t="n">
        <v>0.333333333333333</v>
      </c>
      <c r="E9" s="23" t="n">
        <v>0.416666666666667</v>
      </c>
      <c r="F9" s="19" t="s">
        <v>79</v>
      </c>
      <c r="G9" s="19" t="s">
        <v>203</v>
      </c>
      <c r="H9" s="19" t="s">
        <v>219</v>
      </c>
      <c r="I9" s="19"/>
    </row>
    <row r="10" customFormat="false" ht="15" hidden="false" customHeight="false" outlineLevel="0" collapsed="false">
      <c r="A10" s="19" t="s">
        <v>229</v>
      </c>
      <c r="B10" s="20" t="n">
        <v>46281</v>
      </c>
      <c r="C10" s="19" t="n">
        <v>3</v>
      </c>
      <c r="D10" s="23" t="n">
        <v>0.416666666666667</v>
      </c>
      <c r="E10" s="23" t="n">
        <v>0.5</v>
      </c>
      <c r="F10" s="19" t="s">
        <v>79</v>
      </c>
      <c r="G10" s="19" t="s">
        <v>204</v>
      </c>
      <c r="H10" s="19" t="s">
        <v>219</v>
      </c>
      <c r="I10" s="19"/>
    </row>
    <row r="11" customFormat="false" ht="15" hidden="false" customHeight="false" outlineLevel="0" collapsed="false">
      <c r="A11" s="19" t="s">
        <v>230</v>
      </c>
      <c r="B11" s="20" t="n">
        <v>46281</v>
      </c>
      <c r="C11" s="19" t="n">
        <v>4</v>
      </c>
      <c r="D11" s="23" t="n">
        <v>0.5</v>
      </c>
      <c r="E11" s="23" t="n">
        <v>0.583333333333333</v>
      </c>
      <c r="F11" s="19" t="s">
        <v>79</v>
      </c>
      <c r="G11" s="19" t="s">
        <v>205</v>
      </c>
      <c r="H11" s="19" t="s">
        <v>219</v>
      </c>
      <c r="I11" s="19"/>
    </row>
    <row r="12" customFormat="false" ht="15" hidden="false" customHeight="false" outlineLevel="0" collapsed="false">
      <c r="A12" s="19" t="s">
        <v>231</v>
      </c>
      <c r="B12" s="20" t="n">
        <v>46281</v>
      </c>
      <c r="C12" s="19" t="n">
        <v>5</v>
      </c>
      <c r="D12" s="23" t="n">
        <v>0.583333333333333</v>
      </c>
      <c r="E12" s="23" t="n">
        <v>0.666666666666667</v>
      </c>
      <c r="F12" s="19" t="s">
        <v>81</v>
      </c>
      <c r="G12" s="19" t="s">
        <v>206</v>
      </c>
      <c r="H12" s="19" t="s">
        <v>219</v>
      </c>
      <c r="I12" s="19"/>
    </row>
    <row r="13" customFormat="false" ht="15" hidden="false" customHeight="false" outlineLevel="0" collapsed="false">
      <c r="A13" s="19" t="s">
        <v>232</v>
      </c>
      <c r="B13" s="20" t="n">
        <v>46281</v>
      </c>
      <c r="C13" s="19" t="n">
        <v>6</v>
      </c>
      <c r="D13" s="23" t="n">
        <v>0.6875</v>
      </c>
      <c r="E13" s="23" t="n">
        <v>0.770833333333333</v>
      </c>
      <c r="F13" s="19" t="s">
        <v>81</v>
      </c>
      <c r="G13" s="19" t="s">
        <v>207</v>
      </c>
      <c r="H13" s="19" t="s">
        <v>219</v>
      </c>
      <c r="I13" s="19"/>
    </row>
    <row r="14" customFormat="false" ht="15" hidden="false" customHeight="false" outlineLevel="0" collapsed="false">
      <c r="A14" s="19" t="s">
        <v>233</v>
      </c>
      <c r="B14" s="20" t="n">
        <v>46282</v>
      </c>
      <c r="C14" s="19" t="n">
        <v>1</v>
      </c>
      <c r="D14" s="23" t="n">
        <v>0.25</v>
      </c>
      <c r="E14" s="23" t="n">
        <v>0.333333333333333</v>
      </c>
      <c r="F14" s="19" t="s">
        <v>80</v>
      </c>
      <c r="G14" s="19" t="s">
        <v>208</v>
      </c>
      <c r="H14" s="19" t="s">
        <v>219</v>
      </c>
      <c r="I14" s="19"/>
    </row>
    <row r="15" customFormat="false" ht="15" hidden="false" customHeight="false" outlineLevel="0" collapsed="false">
      <c r="A15" s="19" t="s">
        <v>234</v>
      </c>
      <c r="B15" s="20" t="n">
        <v>46282</v>
      </c>
      <c r="C15" s="19" t="n">
        <v>2</v>
      </c>
      <c r="D15" s="23" t="n">
        <v>0.333333333333333</v>
      </c>
      <c r="E15" s="23" t="n">
        <v>0.416666666666667</v>
      </c>
      <c r="F15" s="19" t="s">
        <v>79</v>
      </c>
      <c r="G15" s="19" t="s">
        <v>209</v>
      </c>
      <c r="H15" s="19" t="s">
        <v>219</v>
      </c>
      <c r="I15" s="19"/>
    </row>
    <row r="16" customFormat="false" ht="15" hidden="false" customHeight="false" outlineLevel="0" collapsed="false">
      <c r="A16" s="19" t="s">
        <v>235</v>
      </c>
      <c r="B16" s="20" t="n">
        <v>46282</v>
      </c>
      <c r="C16" s="19" t="n">
        <v>3</v>
      </c>
      <c r="D16" s="23" t="n">
        <v>0.416666666666667</v>
      </c>
      <c r="E16" s="23" t="n">
        <v>0.5</v>
      </c>
      <c r="F16" s="19" t="s">
        <v>79</v>
      </c>
      <c r="G16" s="19" t="s">
        <v>210</v>
      </c>
      <c r="H16" s="19" t="s">
        <v>219</v>
      </c>
      <c r="I16" s="19"/>
    </row>
    <row r="17" customFormat="false" ht="15" hidden="false" customHeight="false" outlineLevel="0" collapsed="false">
      <c r="A17" s="19" t="s">
        <v>236</v>
      </c>
      <c r="B17" s="20" t="n">
        <v>46282</v>
      </c>
      <c r="C17" s="19" t="n">
        <v>4</v>
      </c>
      <c r="D17" s="23" t="n">
        <v>0.5</v>
      </c>
      <c r="E17" s="23" t="n">
        <v>0.583333333333333</v>
      </c>
      <c r="F17" s="19" t="s">
        <v>79</v>
      </c>
      <c r="G17" s="19" t="s">
        <v>211</v>
      </c>
      <c r="H17" s="19" t="s">
        <v>219</v>
      </c>
      <c r="I17" s="19"/>
    </row>
    <row r="18" customFormat="false" ht="15" hidden="false" customHeight="false" outlineLevel="0" collapsed="false">
      <c r="A18" s="19" t="s">
        <v>237</v>
      </c>
      <c r="B18" s="20" t="n">
        <v>46282</v>
      </c>
      <c r="C18" s="19" t="n">
        <v>5</v>
      </c>
      <c r="D18" s="23" t="n">
        <v>0.583333333333333</v>
      </c>
      <c r="E18" s="23" t="n">
        <v>0.666666666666667</v>
      </c>
      <c r="F18" s="19" t="s">
        <v>79</v>
      </c>
      <c r="G18" s="19" t="s">
        <v>204</v>
      </c>
      <c r="H18" s="19" t="s">
        <v>238</v>
      </c>
      <c r="I18" s="19" t="s">
        <v>239</v>
      </c>
    </row>
    <row r="19" customFormat="false" ht="15" hidden="false" customHeight="false" outlineLevel="0" collapsed="false">
      <c r="A19" s="19" t="s">
        <v>240</v>
      </c>
      <c r="B19" s="20" t="n">
        <v>46282</v>
      </c>
      <c r="C19" s="19" t="n">
        <v>6</v>
      </c>
      <c r="D19" s="23" t="n">
        <v>0.6875</v>
      </c>
      <c r="E19" s="23" t="n">
        <v>0.770833333333333</v>
      </c>
      <c r="F19" s="19" t="s">
        <v>80</v>
      </c>
      <c r="G19" s="19" t="s">
        <v>196</v>
      </c>
      <c r="H19" s="19" t="s">
        <v>219</v>
      </c>
      <c r="I19" s="19"/>
    </row>
    <row r="20" customFormat="false" ht="15" hidden="false" customHeight="false" outlineLevel="0" collapsed="false">
      <c r="A20" s="19" t="s">
        <v>241</v>
      </c>
      <c r="B20" s="20" t="n">
        <v>46283</v>
      </c>
      <c r="C20" s="19" t="n">
        <v>1</v>
      </c>
      <c r="D20" s="23" t="n">
        <v>0.25</v>
      </c>
      <c r="E20" s="23" t="n">
        <v>0.333333333333333</v>
      </c>
      <c r="F20" s="19" t="s">
        <v>80</v>
      </c>
      <c r="G20" s="19" t="s">
        <v>198</v>
      </c>
      <c r="H20" s="19" t="s">
        <v>219</v>
      </c>
      <c r="I20" s="19"/>
    </row>
    <row r="21" customFormat="false" ht="15" hidden="false" customHeight="false" outlineLevel="0" collapsed="false">
      <c r="A21" s="19" t="s">
        <v>242</v>
      </c>
      <c r="B21" s="20" t="n">
        <v>46283</v>
      </c>
      <c r="C21" s="19" t="n">
        <v>2</v>
      </c>
      <c r="D21" s="23" t="n">
        <v>0.333333333333333</v>
      </c>
      <c r="E21" s="23" t="n">
        <v>0.416666666666667</v>
      </c>
      <c r="F21" s="19" t="s">
        <v>79</v>
      </c>
      <c r="G21" s="19" t="s">
        <v>199</v>
      </c>
      <c r="H21" s="19" t="s">
        <v>219</v>
      </c>
      <c r="I21" s="19"/>
    </row>
    <row r="22" customFormat="false" ht="15" hidden="false" customHeight="false" outlineLevel="0" collapsed="false">
      <c r="A22" s="19" t="s">
        <v>243</v>
      </c>
      <c r="B22" s="20" t="n">
        <v>46283</v>
      </c>
      <c r="C22" s="19" t="n">
        <v>3</v>
      </c>
      <c r="D22" s="23" t="n">
        <v>0.416666666666667</v>
      </c>
      <c r="E22" s="23" t="n">
        <v>0.5</v>
      </c>
      <c r="F22" s="19" t="s">
        <v>79</v>
      </c>
      <c r="G22" s="19" t="s">
        <v>200</v>
      </c>
      <c r="H22" s="19" t="s">
        <v>219</v>
      </c>
      <c r="I22" s="19"/>
    </row>
    <row r="23" customFormat="false" ht="15" hidden="false" customHeight="false" outlineLevel="0" collapsed="false">
      <c r="A23" s="19" t="s">
        <v>244</v>
      </c>
      <c r="B23" s="20" t="n">
        <v>46283</v>
      </c>
      <c r="C23" s="19" t="n">
        <v>4</v>
      </c>
      <c r="D23" s="23" t="n">
        <v>0.5</v>
      </c>
      <c r="E23" s="23" t="n">
        <v>0.583333333333333</v>
      </c>
      <c r="F23" s="19" t="s">
        <v>79</v>
      </c>
      <c r="G23" s="19" t="s">
        <v>201</v>
      </c>
      <c r="H23" s="19" t="s">
        <v>219</v>
      </c>
      <c r="I23" s="19"/>
    </row>
    <row r="24" customFormat="false" ht="15" hidden="false" customHeight="false" outlineLevel="0" collapsed="false">
      <c r="A24" s="19" t="s">
        <v>245</v>
      </c>
      <c r="B24" s="20" t="n">
        <v>46283</v>
      </c>
      <c r="C24" s="19" t="n">
        <v>5</v>
      </c>
      <c r="D24" s="23" t="n">
        <v>0.583333333333333</v>
      </c>
      <c r="E24" s="23" t="n">
        <v>0.666666666666667</v>
      </c>
      <c r="F24" s="19" t="s">
        <v>79</v>
      </c>
      <c r="G24" s="19" t="s">
        <v>202</v>
      </c>
      <c r="H24" s="19" t="s">
        <v>219</v>
      </c>
      <c r="I24" s="19"/>
    </row>
    <row r="25" customFormat="false" ht="15" hidden="false" customHeight="false" outlineLevel="0" collapsed="false">
      <c r="A25" s="19" t="s">
        <v>246</v>
      </c>
      <c r="B25" s="20" t="n">
        <v>46283</v>
      </c>
      <c r="C25" s="19" t="n">
        <v>6</v>
      </c>
      <c r="D25" s="23" t="n">
        <v>0.6875</v>
      </c>
      <c r="E25" s="23" t="n">
        <v>0.770833333333333</v>
      </c>
      <c r="F25" s="19" t="s">
        <v>80</v>
      </c>
      <c r="G25" s="19" t="s">
        <v>203</v>
      </c>
      <c r="H25" s="19" t="s">
        <v>219</v>
      </c>
      <c r="I25" s="19"/>
    </row>
    <row r="26" customFormat="false" ht="15" hidden="false" customHeight="false" outlineLevel="0" collapsed="false">
      <c r="A26" s="19" t="s">
        <v>247</v>
      </c>
      <c r="B26" s="20" t="n">
        <v>46284</v>
      </c>
      <c r="C26" s="19" t="n">
        <v>1</v>
      </c>
      <c r="D26" s="23" t="n">
        <v>0.25</v>
      </c>
      <c r="E26" s="23" t="n">
        <v>0.333333333333333</v>
      </c>
      <c r="F26" s="19" t="s">
        <v>80</v>
      </c>
      <c r="G26" s="19" t="s">
        <v>204</v>
      </c>
      <c r="H26" s="19" t="s">
        <v>219</v>
      </c>
      <c r="I26" s="19"/>
    </row>
    <row r="27" customFormat="false" ht="15" hidden="false" customHeight="false" outlineLevel="0" collapsed="false">
      <c r="A27" s="19" t="s">
        <v>248</v>
      </c>
      <c r="B27" s="20" t="n">
        <v>46284</v>
      </c>
      <c r="C27" s="19" t="n">
        <v>2</v>
      </c>
      <c r="D27" s="23" t="n">
        <v>0.333333333333333</v>
      </c>
      <c r="E27" s="23" t="n">
        <v>0.416666666666667</v>
      </c>
      <c r="F27" s="19" t="s">
        <v>79</v>
      </c>
      <c r="G27" s="19" t="s">
        <v>205</v>
      </c>
      <c r="H27" s="19" t="s">
        <v>219</v>
      </c>
      <c r="I27" s="19"/>
    </row>
    <row r="28" customFormat="false" ht="15" hidden="false" customHeight="false" outlineLevel="0" collapsed="false">
      <c r="A28" s="19" t="s">
        <v>249</v>
      </c>
      <c r="B28" s="20" t="n">
        <v>46284</v>
      </c>
      <c r="C28" s="19" t="n">
        <v>3</v>
      </c>
      <c r="D28" s="23" t="n">
        <v>0.416666666666667</v>
      </c>
      <c r="E28" s="23" t="n">
        <v>0.5</v>
      </c>
      <c r="F28" s="19" t="s">
        <v>79</v>
      </c>
      <c r="G28" s="19" t="s">
        <v>206</v>
      </c>
      <c r="H28" s="19" t="s">
        <v>219</v>
      </c>
      <c r="I28" s="19"/>
    </row>
    <row r="29" customFormat="false" ht="15" hidden="false" customHeight="false" outlineLevel="0" collapsed="false">
      <c r="A29" s="19" t="s">
        <v>250</v>
      </c>
      <c r="B29" s="20" t="n">
        <v>46284</v>
      </c>
      <c r="C29" s="19" t="n">
        <v>4</v>
      </c>
      <c r="D29" s="23" t="n">
        <v>0.5</v>
      </c>
      <c r="E29" s="23" t="n">
        <v>0.583333333333333</v>
      </c>
      <c r="F29" s="19" t="s">
        <v>79</v>
      </c>
      <c r="G29" s="19" t="s">
        <v>207</v>
      </c>
      <c r="H29" s="19" t="s">
        <v>219</v>
      </c>
      <c r="I29" s="19"/>
    </row>
    <row r="30" customFormat="false" ht="15" hidden="false" customHeight="false" outlineLevel="0" collapsed="false">
      <c r="A30" s="19" t="s">
        <v>251</v>
      </c>
      <c r="B30" s="20" t="n">
        <v>46284</v>
      </c>
      <c r="C30" s="19" t="n">
        <v>5</v>
      </c>
      <c r="D30" s="23" t="n">
        <v>0.583333333333333</v>
      </c>
      <c r="E30" s="23" t="n">
        <v>0.666666666666667</v>
      </c>
      <c r="F30" s="19" t="s">
        <v>79</v>
      </c>
      <c r="G30" s="19" t="s">
        <v>208</v>
      </c>
      <c r="H30" s="19" t="s">
        <v>219</v>
      </c>
      <c r="I30" s="19"/>
    </row>
    <row r="31" customFormat="false" ht="15" hidden="false" customHeight="false" outlineLevel="0" collapsed="false">
      <c r="A31" s="19" t="s">
        <v>252</v>
      </c>
      <c r="B31" s="20" t="n">
        <v>46284</v>
      </c>
      <c r="C31" s="19" t="n">
        <v>6</v>
      </c>
      <c r="D31" s="23" t="n">
        <v>0.6875</v>
      </c>
      <c r="E31" s="23" t="n">
        <v>0.770833333333333</v>
      </c>
      <c r="F31" s="19" t="s">
        <v>80</v>
      </c>
      <c r="G31" s="19" t="s">
        <v>209</v>
      </c>
      <c r="H31" s="19" t="s">
        <v>219</v>
      </c>
      <c r="I31" s="19"/>
    </row>
    <row r="32" customFormat="false" ht="15" hidden="false" customHeight="false" outlineLevel="0" collapsed="false">
      <c r="A32" s="19" t="s">
        <v>253</v>
      </c>
      <c r="B32" s="20" t="n">
        <v>46285</v>
      </c>
      <c r="C32" s="19" t="n">
        <v>1</v>
      </c>
      <c r="D32" s="23" t="n">
        <v>0.25</v>
      </c>
      <c r="E32" s="23" t="n">
        <v>0.333333333333333</v>
      </c>
      <c r="F32" s="19" t="s">
        <v>80</v>
      </c>
      <c r="G32" s="19" t="s">
        <v>210</v>
      </c>
      <c r="H32" s="19" t="s">
        <v>219</v>
      </c>
      <c r="I32" s="19"/>
    </row>
    <row r="33" customFormat="false" ht="15" hidden="false" customHeight="false" outlineLevel="0" collapsed="false">
      <c r="A33" s="19" t="s">
        <v>254</v>
      </c>
      <c r="B33" s="20" t="n">
        <v>46285</v>
      </c>
      <c r="C33" s="19" t="n">
        <v>2</v>
      </c>
      <c r="D33" s="23" t="n">
        <v>0.333333333333333</v>
      </c>
      <c r="E33" s="23" t="n">
        <v>0.416666666666667</v>
      </c>
      <c r="F33" s="19" t="s">
        <v>79</v>
      </c>
      <c r="G33" s="19" t="s">
        <v>211</v>
      </c>
      <c r="H33" s="19" t="s">
        <v>219</v>
      </c>
      <c r="I33" s="19"/>
    </row>
    <row r="34" customFormat="false" ht="15" hidden="false" customHeight="false" outlineLevel="0" collapsed="false">
      <c r="A34" s="19" t="s">
        <v>255</v>
      </c>
      <c r="B34" s="20" t="n">
        <v>46285</v>
      </c>
      <c r="C34" s="19" t="n">
        <v>3</v>
      </c>
      <c r="D34" s="23" t="n">
        <v>0.416666666666667</v>
      </c>
      <c r="E34" s="23" t="n">
        <v>0.5</v>
      </c>
      <c r="F34" s="19" t="s">
        <v>79</v>
      </c>
      <c r="G34" s="19" t="s">
        <v>194</v>
      </c>
      <c r="H34" s="19" t="s">
        <v>219</v>
      </c>
      <c r="I34" s="19"/>
    </row>
    <row r="35" customFormat="false" ht="15" hidden="false" customHeight="false" outlineLevel="0" collapsed="false">
      <c r="A35" s="19" t="s">
        <v>256</v>
      </c>
      <c r="B35" s="20" t="n">
        <v>46285</v>
      </c>
      <c r="C35" s="19" t="n">
        <v>4</v>
      </c>
      <c r="D35" s="23" t="n">
        <v>0.5</v>
      </c>
      <c r="E35" s="23" t="n">
        <v>0.583333333333333</v>
      </c>
      <c r="F35" s="19" t="s">
        <v>79</v>
      </c>
      <c r="G35" s="19" t="s">
        <v>196</v>
      </c>
      <c r="H35" s="19" t="s">
        <v>219</v>
      </c>
      <c r="I35" s="19"/>
    </row>
    <row r="36" customFormat="false" ht="15" hidden="false" customHeight="false" outlineLevel="0" collapsed="false">
      <c r="A36" s="19" t="s">
        <v>257</v>
      </c>
      <c r="B36" s="20" t="n">
        <v>46285</v>
      </c>
      <c r="C36" s="19" t="n">
        <v>5</v>
      </c>
      <c r="D36" s="23" t="n">
        <v>0.583333333333333</v>
      </c>
      <c r="E36" s="23" t="n">
        <v>0.666666666666667</v>
      </c>
      <c r="F36" s="19" t="s">
        <v>79</v>
      </c>
      <c r="G36" s="19" t="s">
        <v>198</v>
      </c>
      <c r="H36" s="19" t="s">
        <v>219</v>
      </c>
      <c r="I36" s="19"/>
    </row>
    <row r="37" customFormat="false" ht="15" hidden="false" customHeight="false" outlineLevel="0" collapsed="false">
      <c r="A37" s="19" t="s">
        <v>258</v>
      </c>
      <c r="B37" s="20" t="n">
        <v>46285</v>
      </c>
      <c r="C37" s="19" t="n">
        <v>6</v>
      </c>
      <c r="D37" s="23" t="n">
        <v>0.6875</v>
      </c>
      <c r="E37" s="23" t="n">
        <v>0.770833333333333</v>
      </c>
      <c r="F37" s="19" t="s">
        <v>80</v>
      </c>
      <c r="G37" s="19" t="s">
        <v>201</v>
      </c>
      <c r="H37" s="19" t="s">
        <v>238</v>
      </c>
      <c r="I37" s="19" t="s">
        <v>259</v>
      </c>
    </row>
    <row r="38" customFormat="false" ht="15" hidden="false" customHeight="false" outlineLevel="0" collapsed="false">
      <c r="A38" s="19" t="s">
        <v>260</v>
      </c>
      <c r="B38" s="20" t="n">
        <v>46286</v>
      </c>
      <c r="C38" s="19" t="n">
        <v>1</v>
      </c>
      <c r="D38" s="23" t="n">
        <v>0.25</v>
      </c>
      <c r="E38" s="23" t="n">
        <v>0.333333333333333</v>
      </c>
      <c r="F38" s="19" t="s">
        <v>80</v>
      </c>
      <c r="G38" s="19" t="s">
        <v>200</v>
      </c>
      <c r="H38" s="19" t="s">
        <v>219</v>
      </c>
      <c r="I38" s="19"/>
    </row>
    <row r="39" customFormat="false" ht="15" hidden="false" customHeight="false" outlineLevel="0" collapsed="false">
      <c r="A39" s="19" t="s">
        <v>261</v>
      </c>
      <c r="B39" s="20" t="n">
        <v>46286</v>
      </c>
      <c r="C39" s="19" t="n">
        <v>2</v>
      </c>
      <c r="D39" s="23" t="n">
        <v>0.333333333333333</v>
      </c>
      <c r="E39" s="23" t="n">
        <v>0.416666666666667</v>
      </c>
      <c r="F39" s="19" t="s">
        <v>79</v>
      </c>
      <c r="G39" s="19" t="s">
        <v>201</v>
      </c>
      <c r="H39" s="19" t="s">
        <v>219</v>
      </c>
      <c r="I39" s="19"/>
    </row>
    <row r="40" customFormat="false" ht="15" hidden="false" customHeight="false" outlineLevel="0" collapsed="false">
      <c r="A40" s="19" t="s">
        <v>262</v>
      </c>
      <c r="B40" s="20" t="n">
        <v>46286</v>
      </c>
      <c r="C40" s="19" t="n">
        <v>3</v>
      </c>
      <c r="D40" s="23" t="n">
        <v>0.416666666666667</v>
      </c>
      <c r="E40" s="23" t="n">
        <v>0.5</v>
      </c>
      <c r="F40" s="19" t="s">
        <v>79</v>
      </c>
      <c r="G40" s="19" t="s">
        <v>202</v>
      </c>
      <c r="H40" s="19" t="s">
        <v>219</v>
      </c>
      <c r="I40" s="19"/>
    </row>
    <row r="41" customFormat="false" ht="15" hidden="false" customHeight="false" outlineLevel="0" collapsed="false">
      <c r="A41" s="19" t="s">
        <v>263</v>
      </c>
      <c r="B41" s="20" t="n">
        <v>46286</v>
      </c>
      <c r="C41" s="19" t="n">
        <v>4</v>
      </c>
      <c r="D41" s="23" t="n">
        <v>0.5</v>
      </c>
      <c r="E41" s="23" t="n">
        <v>0.583333333333333</v>
      </c>
      <c r="F41" s="19" t="s">
        <v>79</v>
      </c>
      <c r="G41" s="19" t="s">
        <v>203</v>
      </c>
      <c r="H41" s="19" t="s">
        <v>219</v>
      </c>
      <c r="I41" s="19"/>
    </row>
    <row r="42" customFormat="false" ht="15" hidden="false" customHeight="false" outlineLevel="0" collapsed="false">
      <c r="A42" s="19" t="s">
        <v>264</v>
      </c>
      <c r="B42" s="20" t="n">
        <v>46286</v>
      </c>
      <c r="C42" s="19" t="n">
        <v>5</v>
      </c>
      <c r="D42" s="23" t="n">
        <v>0.583333333333333</v>
      </c>
      <c r="E42" s="23" t="n">
        <v>0.666666666666667</v>
      </c>
      <c r="F42" s="19" t="s">
        <v>81</v>
      </c>
      <c r="G42" s="19" t="s">
        <v>204</v>
      </c>
      <c r="H42" s="19" t="s">
        <v>219</v>
      </c>
      <c r="I42" s="19"/>
    </row>
    <row r="43" customFormat="false" ht="15" hidden="false" customHeight="false" outlineLevel="0" collapsed="false">
      <c r="A43" s="19" t="s">
        <v>265</v>
      </c>
      <c r="B43" s="20" t="n">
        <v>46286</v>
      </c>
      <c r="C43" s="19" t="n">
        <v>6</v>
      </c>
      <c r="D43" s="23" t="n">
        <v>0.6875</v>
      </c>
      <c r="E43" s="23" t="n">
        <v>0.770833333333333</v>
      </c>
      <c r="F43" s="19" t="s">
        <v>81</v>
      </c>
      <c r="G43" s="19" t="s">
        <v>205</v>
      </c>
      <c r="H43" s="19" t="s">
        <v>219</v>
      </c>
      <c r="I43" s="19"/>
    </row>
    <row r="44" customFormat="false" ht="15" hidden="false" customHeight="false" outlineLevel="0" collapsed="false">
      <c r="A44" s="19" t="s">
        <v>266</v>
      </c>
      <c r="B44" s="20" t="n">
        <v>46287</v>
      </c>
      <c r="C44" s="19" t="n">
        <v>1</v>
      </c>
      <c r="D44" s="23" t="n">
        <v>0.25</v>
      </c>
      <c r="E44" s="23" t="n">
        <v>0.333333333333333</v>
      </c>
      <c r="F44" s="19" t="s">
        <v>80</v>
      </c>
      <c r="G44" s="19" t="s">
        <v>206</v>
      </c>
      <c r="H44" s="19" t="s">
        <v>219</v>
      </c>
      <c r="I44" s="19"/>
    </row>
    <row r="45" customFormat="false" ht="15" hidden="false" customHeight="false" outlineLevel="0" collapsed="false">
      <c r="A45" s="19" t="s">
        <v>267</v>
      </c>
      <c r="B45" s="20" t="n">
        <v>46287</v>
      </c>
      <c r="C45" s="19" t="n">
        <v>2</v>
      </c>
      <c r="D45" s="23" t="n">
        <v>0.333333333333333</v>
      </c>
      <c r="E45" s="23" t="n">
        <v>0.416666666666667</v>
      </c>
      <c r="F45" s="19" t="s">
        <v>79</v>
      </c>
      <c r="G45" s="19" t="s">
        <v>207</v>
      </c>
      <c r="H45" s="19" t="s">
        <v>219</v>
      </c>
      <c r="I45" s="19"/>
    </row>
    <row r="46" customFormat="false" ht="15" hidden="false" customHeight="false" outlineLevel="0" collapsed="false">
      <c r="A46" s="19" t="s">
        <v>268</v>
      </c>
      <c r="B46" s="20" t="n">
        <v>46287</v>
      </c>
      <c r="C46" s="19" t="n">
        <v>3</v>
      </c>
      <c r="D46" s="23" t="n">
        <v>0.416666666666667</v>
      </c>
      <c r="E46" s="23" t="n">
        <v>0.5</v>
      </c>
      <c r="F46" s="19" t="s">
        <v>79</v>
      </c>
      <c r="G46" s="19" t="s">
        <v>208</v>
      </c>
      <c r="H46" s="19" t="s">
        <v>219</v>
      </c>
      <c r="I46" s="19"/>
    </row>
    <row r="47" customFormat="false" ht="15" hidden="false" customHeight="false" outlineLevel="0" collapsed="false">
      <c r="A47" s="19" t="s">
        <v>269</v>
      </c>
      <c r="B47" s="20" t="n">
        <v>46287</v>
      </c>
      <c r="C47" s="19" t="n">
        <v>4</v>
      </c>
      <c r="D47" s="23" t="n">
        <v>0.5</v>
      </c>
      <c r="E47" s="23" t="n">
        <v>0.583333333333333</v>
      </c>
      <c r="F47" s="19" t="s">
        <v>79</v>
      </c>
      <c r="G47" s="19" t="s">
        <v>209</v>
      </c>
      <c r="H47" s="19" t="s">
        <v>270</v>
      </c>
      <c r="I47" s="19" t="s">
        <v>271</v>
      </c>
    </row>
    <row r="48" customFormat="false" ht="15" hidden="false" customHeight="false" outlineLevel="0" collapsed="false">
      <c r="A48" s="19" t="s">
        <v>272</v>
      </c>
      <c r="B48" s="20" t="n">
        <v>46287</v>
      </c>
      <c r="C48" s="19" t="n">
        <v>5</v>
      </c>
      <c r="D48" s="23" t="n">
        <v>0.583333333333333</v>
      </c>
      <c r="E48" s="23" t="n">
        <v>0.666666666666667</v>
      </c>
      <c r="F48" s="19" t="s">
        <v>81</v>
      </c>
      <c r="G48" s="19" t="s">
        <v>210</v>
      </c>
      <c r="H48" s="19" t="s">
        <v>219</v>
      </c>
      <c r="I48" s="19"/>
    </row>
    <row r="49" customFormat="false" ht="15" hidden="false" customHeight="false" outlineLevel="0" collapsed="false">
      <c r="A49" s="19" t="s">
        <v>273</v>
      </c>
      <c r="B49" s="20" t="n">
        <v>46287</v>
      </c>
      <c r="C49" s="19" t="n">
        <v>6</v>
      </c>
      <c r="D49" s="23" t="n">
        <v>0.6875</v>
      </c>
      <c r="E49" s="23" t="n">
        <v>0.770833333333333</v>
      </c>
      <c r="F49" s="19" t="s">
        <v>81</v>
      </c>
      <c r="G49" s="19" t="s">
        <v>211</v>
      </c>
      <c r="H49" s="19" t="s">
        <v>219</v>
      </c>
      <c r="I49" s="19"/>
    </row>
    <row r="50" customFormat="false" ht="15" hidden="false" customHeight="false" outlineLevel="0" collapsed="false">
      <c r="A50" s="19" t="s">
        <v>274</v>
      </c>
      <c r="B50" s="20" t="n">
        <v>46288</v>
      </c>
      <c r="C50" s="19" t="n">
        <v>1</v>
      </c>
      <c r="D50" s="23" t="n">
        <v>0.25</v>
      </c>
      <c r="E50" s="23" t="n">
        <v>0.333333333333333</v>
      </c>
      <c r="F50" s="19" t="s">
        <v>80</v>
      </c>
      <c r="G50" s="19" t="s">
        <v>194</v>
      </c>
      <c r="H50" s="19" t="s">
        <v>219</v>
      </c>
      <c r="I50" s="19"/>
    </row>
    <row r="51" customFormat="false" ht="15" hidden="false" customHeight="false" outlineLevel="0" collapsed="false">
      <c r="A51" s="19" t="s">
        <v>275</v>
      </c>
      <c r="B51" s="20" t="n">
        <v>46288</v>
      </c>
      <c r="C51" s="19" t="n">
        <v>2</v>
      </c>
      <c r="D51" s="23" t="n">
        <v>0.333333333333333</v>
      </c>
      <c r="E51" s="23" t="n">
        <v>0.416666666666667</v>
      </c>
      <c r="F51" s="19" t="s">
        <v>79</v>
      </c>
      <c r="G51" s="19" t="s">
        <v>196</v>
      </c>
      <c r="H51" s="19" t="s">
        <v>222</v>
      </c>
      <c r="I51" s="19" t="s">
        <v>223</v>
      </c>
    </row>
    <row r="52" customFormat="false" ht="15" hidden="false" customHeight="false" outlineLevel="0" collapsed="false">
      <c r="A52" s="19" t="s">
        <v>276</v>
      </c>
      <c r="B52" s="20" t="n">
        <v>46288</v>
      </c>
      <c r="C52" s="19" t="n">
        <v>3</v>
      </c>
      <c r="D52" s="23" t="n">
        <v>0.416666666666667</v>
      </c>
      <c r="E52" s="23" t="n">
        <v>0.5</v>
      </c>
      <c r="F52" s="19" t="s">
        <v>79</v>
      </c>
      <c r="G52" s="19" t="s">
        <v>198</v>
      </c>
      <c r="H52" s="19" t="s">
        <v>219</v>
      </c>
      <c r="I52" s="19"/>
    </row>
    <row r="53" customFormat="false" ht="15" hidden="false" customHeight="false" outlineLevel="0" collapsed="false">
      <c r="A53" s="19" t="s">
        <v>277</v>
      </c>
      <c r="B53" s="20" t="n">
        <v>46288</v>
      </c>
      <c r="C53" s="19" t="n">
        <v>4</v>
      </c>
      <c r="D53" s="23" t="n">
        <v>0.5</v>
      </c>
      <c r="E53" s="23" t="n">
        <v>0.583333333333333</v>
      </c>
      <c r="F53" s="19" t="s">
        <v>79</v>
      </c>
      <c r="G53" s="19" t="s">
        <v>206</v>
      </c>
      <c r="H53" s="19" t="s">
        <v>238</v>
      </c>
      <c r="I53" s="19" t="s">
        <v>259</v>
      </c>
    </row>
    <row r="54" customFormat="false" ht="15" hidden="false" customHeight="false" outlineLevel="0" collapsed="false">
      <c r="A54" s="19" t="s">
        <v>278</v>
      </c>
      <c r="B54" s="20" t="n">
        <v>46288</v>
      </c>
      <c r="C54" s="19" t="n">
        <v>5</v>
      </c>
      <c r="D54" s="23" t="n">
        <v>0.583333333333333</v>
      </c>
      <c r="E54" s="23" t="n">
        <v>0.666666666666667</v>
      </c>
      <c r="F54" s="19" t="s">
        <v>81</v>
      </c>
      <c r="G54" s="19" t="s">
        <v>200</v>
      </c>
      <c r="H54" s="19" t="s">
        <v>219</v>
      </c>
      <c r="I54" s="19"/>
    </row>
    <row r="55" customFormat="false" ht="15" hidden="false" customHeight="false" outlineLevel="0" collapsed="false">
      <c r="A55" s="19" t="s">
        <v>279</v>
      </c>
      <c r="B55" s="20" t="n">
        <v>46288</v>
      </c>
      <c r="C55" s="19" t="n">
        <v>6</v>
      </c>
      <c r="D55" s="23" t="n">
        <v>0.6875</v>
      </c>
      <c r="E55" s="23" t="n">
        <v>0.770833333333333</v>
      </c>
      <c r="F55" s="19" t="s">
        <v>81</v>
      </c>
      <c r="G55" s="19" t="s">
        <v>201</v>
      </c>
      <c r="H55" s="19" t="s">
        <v>219</v>
      </c>
      <c r="I55" s="19"/>
    </row>
    <row r="56" customFormat="false" ht="15" hidden="false" customHeight="false" outlineLevel="0" collapsed="false">
      <c r="A56" s="19" t="s">
        <v>280</v>
      </c>
      <c r="B56" s="20" t="n">
        <v>46289</v>
      </c>
      <c r="C56" s="19" t="n">
        <v>1</v>
      </c>
      <c r="D56" s="23" t="n">
        <v>0.25</v>
      </c>
      <c r="E56" s="23" t="n">
        <v>0.333333333333333</v>
      </c>
      <c r="F56" s="19" t="s">
        <v>80</v>
      </c>
      <c r="G56" s="19" t="s">
        <v>202</v>
      </c>
      <c r="H56" s="19" t="s">
        <v>219</v>
      </c>
      <c r="I56" s="19"/>
    </row>
    <row r="57" customFormat="false" ht="15" hidden="false" customHeight="false" outlineLevel="0" collapsed="false">
      <c r="A57" s="19" t="s">
        <v>281</v>
      </c>
      <c r="B57" s="20" t="n">
        <v>46289</v>
      </c>
      <c r="C57" s="19" t="n">
        <v>2</v>
      </c>
      <c r="D57" s="23" t="n">
        <v>0.333333333333333</v>
      </c>
      <c r="E57" s="23" t="n">
        <v>0.416666666666667</v>
      </c>
      <c r="F57" s="19" t="s">
        <v>79</v>
      </c>
      <c r="G57" s="19" t="s">
        <v>203</v>
      </c>
      <c r="H57" s="19" t="s">
        <v>219</v>
      </c>
      <c r="I57" s="19"/>
    </row>
    <row r="58" customFormat="false" ht="15" hidden="false" customHeight="false" outlineLevel="0" collapsed="false">
      <c r="A58" s="19" t="s">
        <v>282</v>
      </c>
      <c r="B58" s="20" t="n">
        <v>46289</v>
      </c>
      <c r="C58" s="19" t="n">
        <v>3</v>
      </c>
      <c r="D58" s="23" t="n">
        <v>0.416666666666667</v>
      </c>
      <c r="E58" s="23" t="n">
        <v>0.5</v>
      </c>
      <c r="F58" s="19" t="s">
        <v>79</v>
      </c>
      <c r="G58" s="19" t="s">
        <v>204</v>
      </c>
      <c r="H58" s="19" t="s">
        <v>219</v>
      </c>
      <c r="I58" s="19"/>
    </row>
    <row r="59" customFormat="false" ht="15" hidden="false" customHeight="false" outlineLevel="0" collapsed="false">
      <c r="A59" s="19" t="s">
        <v>283</v>
      </c>
      <c r="B59" s="20" t="n">
        <v>46289</v>
      </c>
      <c r="C59" s="19" t="n">
        <v>4</v>
      </c>
      <c r="D59" s="23" t="n">
        <v>0.5</v>
      </c>
      <c r="E59" s="23" t="n">
        <v>0.583333333333333</v>
      </c>
      <c r="F59" s="19" t="s">
        <v>79</v>
      </c>
      <c r="G59" s="19" t="s">
        <v>205</v>
      </c>
      <c r="H59" s="19" t="s">
        <v>219</v>
      </c>
      <c r="I59" s="19"/>
    </row>
    <row r="60" customFormat="false" ht="15" hidden="false" customHeight="false" outlineLevel="0" collapsed="false">
      <c r="A60" s="19" t="s">
        <v>284</v>
      </c>
      <c r="B60" s="20" t="n">
        <v>46289</v>
      </c>
      <c r="C60" s="19" t="n">
        <v>5</v>
      </c>
      <c r="D60" s="23" t="n">
        <v>0.583333333333333</v>
      </c>
      <c r="E60" s="23" t="n">
        <v>0.666666666666667</v>
      </c>
      <c r="F60" s="19" t="s">
        <v>79</v>
      </c>
      <c r="G60" s="19" t="s">
        <v>206</v>
      </c>
      <c r="H60" s="19" t="s">
        <v>219</v>
      </c>
      <c r="I60" s="19"/>
    </row>
    <row r="61" customFormat="false" ht="15" hidden="false" customHeight="false" outlineLevel="0" collapsed="false">
      <c r="A61" s="19" t="s">
        <v>285</v>
      </c>
      <c r="B61" s="20" t="n">
        <v>46289</v>
      </c>
      <c r="C61" s="19" t="n">
        <v>6</v>
      </c>
      <c r="D61" s="23" t="n">
        <v>0.6875</v>
      </c>
      <c r="E61" s="23" t="n">
        <v>0.770833333333333</v>
      </c>
      <c r="F61" s="19" t="s">
        <v>80</v>
      </c>
      <c r="G61" s="19" t="s">
        <v>207</v>
      </c>
      <c r="H61" s="19" t="s">
        <v>219</v>
      </c>
      <c r="I61" s="19"/>
    </row>
    <row r="62" customFormat="false" ht="15" hidden="false" customHeight="false" outlineLevel="0" collapsed="false">
      <c r="A62" s="19" t="s">
        <v>286</v>
      </c>
      <c r="B62" s="20" t="n">
        <v>46290</v>
      </c>
      <c r="C62" s="19" t="n">
        <v>1</v>
      </c>
      <c r="D62" s="23" t="n">
        <v>0.25</v>
      </c>
      <c r="E62" s="23" t="n">
        <v>0.333333333333333</v>
      </c>
      <c r="F62" s="19" t="s">
        <v>80</v>
      </c>
      <c r="G62" s="19" t="s">
        <v>208</v>
      </c>
      <c r="H62" s="19" t="s">
        <v>222</v>
      </c>
      <c r="I62" s="19" t="s">
        <v>223</v>
      </c>
    </row>
    <row r="63" customFormat="false" ht="15" hidden="false" customHeight="false" outlineLevel="0" collapsed="false">
      <c r="A63" s="19" t="s">
        <v>287</v>
      </c>
      <c r="B63" s="20" t="n">
        <v>46290</v>
      </c>
      <c r="C63" s="19" t="n">
        <v>2</v>
      </c>
      <c r="D63" s="23" t="n">
        <v>0.333333333333333</v>
      </c>
      <c r="E63" s="23" t="n">
        <v>0.416666666666667</v>
      </c>
      <c r="F63" s="19" t="s">
        <v>79</v>
      </c>
      <c r="G63" s="19" t="s">
        <v>209</v>
      </c>
      <c r="H63" s="19" t="s">
        <v>219</v>
      </c>
      <c r="I63" s="19"/>
    </row>
    <row r="64" customFormat="false" ht="15" hidden="false" customHeight="false" outlineLevel="0" collapsed="false">
      <c r="A64" s="19" t="s">
        <v>288</v>
      </c>
      <c r="B64" s="20" t="n">
        <v>46290</v>
      </c>
      <c r="C64" s="19" t="n">
        <v>3</v>
      </c>
      <c r="D64" s="23" t="n">
        <v>0.416666666666667</v>
      </c>
      <c r="E64" s="23" t="n">
        <v>0.5</v>
      </c>
      <c r="F64" s="19" t="s">
        <v>79</v>
      </c>
      <c r="G64" s="19" t="s">
        <v>210</v>
      </c>
      <c r="H64" s="19" t="s">
        <v>219</v>
      </c>
      <c r="I64" s="19"/>
    </row>
    <row r="65" customFormat="false" ht="15" hidden="false" customHeight="false" outlineLevel="0" collapsed="false">
      <c r="A65" s="19" t="s">
        <v>289</v>
      </c>
      <c r="B65" s="20" t="n">
        <v>46290</v>
      </c>
      <c r="C65" s="19" t="n">
        <v>4</v>
      </c>
      <c r="D65" s="23" t="n">
        <v>0.5</v>
      </c>
      <c r="E65" s="23" t="n">
        <v>0.583333333333333</v>
      </c>
      <c r="F65" s="19" t="s">
        <v>79</v>
      </c>
      <c r="G65" s="19" t="s">
        <v>211</v>
      </c>
      <c r="H65" s="19" t="s">
        <v>219</v>
      </c>
      <c r="I65" s="19"/>
    </row>
    <row r="66" customFormat="false" ht="15" hidden="false" customHeight="false" outlineLevel="0" collapsed="false">
      <c r="A66" s="19" t="s">
        <v>290</v>
      </c>
      <c r="B66" s="20" t="n">
        <v>46290</v>
      </c>
      <c r="C66" s="19" t="n">
        <v>5</v>
      </c>
      <c r="D66" s="23" t="n">
        <v>0.583333333333333</v>
      </c>
      <c r="E66" s="23" t="n">
        <v>0.666666666666667</v>
      </c>
      <c r="F66" s="19" t="s">
        <v>79</v>
      </c>
      <c r="G66" s="19" t="s">
        <v>194</v>
      </c>
      <c r="H66" s="19" t="s">
        <v>219</v>
      </c>
      <c r="I66" s="19"/>
    </row>
    <row r="67" customFormat="false" ht="15" hidden="false" customHeight="false" outlineLevel="0" collapsed="false">
      <c r="A67" s="19" t="s">
        <v>291</v>
      </c>
      <c r="B67" s="20" t="n">
        <v>46290</v>
      </c>
      <c r="C67" s="19" t="n">
        <v>6</v>
      </c>
      <c r="D67" s="23" t="n">
        <v>0.6875</v>
      </c>
      <c r="E67" s="23" t="n">
        <v>0.770833333333333</v>
      </c>
      <c r="F67" s="19" t="s">
        <v>80</v>
      </c>
      <c r="G67" s="19" t="s">
        <v>196</v>
      </c>
      <c r="H67" s="19" t="s">
        <v>219</v>
      </c>
      <c r="I67" s="19"/>
    </row>
    <row r="68" customFormat="false" ht="15" hidden="false" customHeight="false" outlineLevel="0" collapsed="false">
      <c r="A68" s="19" t="s">
        <v>292</v>
      </c>
      <c r="B68" s="20" t="n">
        <v>46291</v>
      </c>
      <c r="C68" s="19" t="n">
        <v>1</v>
      </c>
      <c r="D68" s="23" t="n">
        <v>0.25</v>
      </c>
      <c r="E68" s="23" t="n">
        <v>0.333333333333333</v>
      </c>
      <c r="F68" s="19" t="s">
        <v>80</v>
      </c>
      <c r="G68" s="19" t="s">
        <v>198</v>
      </c>
      <c r="H68" s="19" t="s">
        <v>219</v>
      </c>
      <c r="I68" s="19"/>
    </row>
    <row r="69" customFormat="false" ht="15" hidden="false" customHeight="false" outlineLevel="0" collapsed="false">
      <c r="A69" s="19" t="s">
        <v>293</v>
      </c>
      <c r="B69" s="20" t="n">
        <v>46291</v>
      </c>
      <c r="C69" s="19" t="n">
        <v>2</v>
      </c>
      <c r="D69" s="23" t="n">
        <v>0.333333333333333</v>
      </c>
      <c r="E69" s="23" t="n">
        <v>0.416666666666667</v>
      </c>
      <c r="F69" s="19" t="s">
        <v>79</v>
      </c>
      <c r="G69" s="19" t="s">
        <v>199</v>
      </c>
      <c r="H69" s="19" t="s">
        <v>219</v>
      </c>
      <c r="I69" s="19"/>
    </row>
    <row r="70" customFormat="false" ht="15" hidden="false" customHeight="false" outlineLevel="0" collapsed="false">
      <c r="A70" s="19" t="s">
        <v>294</v>
      </c>
      <c r="B70" s="20" t="n">
        <v>46291</v>
      </c>
      <c r="C70" s="19" t="n">
        <v>3</v>
      </c>
      <c r="D70" s="23" t="n">
        <v>0.416666666666667</v>
      </c>
      <c r="E70" s="23" t="n">
        <v>0.5</v>
      </c>
      <c r="F70" s="19" t="s">
        <v>79</v>
      </c>
      <c r="G70" s="19" t="s">
        <v>200</v>
      </c>
      <c r="H70" s="19" t="s">
        <v>219</v>
      </c>
      <c r="I70" s="19"/>
    </row>
    <row r="71" customFormat="false" ht="15" hidden="false" customHeight="false" outlineLevel="0" collapsed="false">
      <c r="A71" s="19" t="s">
        <v>295</v>
      </c>
      <c r="B71" s="20" t="n">
        <v>46291</v>
      </c>
      <c r="C71" s="19" t="n">
        <v>4</v>
      </c>
      <c r="D71" s="23" t="n">
        <v>0.5</v>
      </c>
      <c r="E71" s="23" t="n">
        <v>0.583333333333333</v>
      </c>
      <c r="F71" s="19" t="s">
        <v>79</v>
      </c>
      <c r="G71" s="19" t="s">
        <v>202</v>
      </c>
      <c r="H71" s="19" t="s">
        <v>238</v>
      </c>
      <c r="I71" s="19" t="s">
        <v>296</v>
      </c>
    </row>
    <row r="72" customFormat="false" ht="15" hidden="false" customHeight="false" outlineLevel="0" collapsed="false">
      <c r="A72" s="19" t="s">
        <v>297</v>
      </c>
      <c r="B72" s="20" t="n">
        <v>46291</v>
      </c>
      <c r="C72" s="19" t="n">
        <v>5</v>
      </c>
      <c r="D72" s="23" t="n">
        <v>0.583333333333333</v>
      </c>
      <c r="E72" s="23" t="n">
        <v>0.666666666666667</v>
      </c>
      <c r="F72" s="19" t="s">
        <v>79</v>
      </c>
      <c r="G72" s="19" t="s">
        <v>202</v>
      </c>
      <c r="H72" s="19" t="s">
        <v>219</v>
      </c>
      <c r="I72" s="19"/>
    </row>
    <row r="73" customFormat="false" ht="15" hidden="false" customHeight="false" outlineLevel="0" collapsed="false">
      <c r="A73" s="19" t="s">
        <v>298</v>
      </c>
      <c r="B73" s="20" t="n">
        <v>46291</v>
      </c>
      <c r="C73" s="19" t="n">
        <v>6</v>
      </c>
      <c r="D73" s="23" t="n">
        <v>0.6875</v>
      </c>
      <c r="E73" s="23" t="n">
        <v>0.770833333333333</v>
      </c>
      <c r="F73" s="19" t="s">
        <v>80</v>
      </c>
      <c r="G73" s="19" t="s">
        <v>203</v>
      </c>
      <c r="H73" s="19" t="s">
        <v>219</v>
      </c>
      <c r="I73" s="19"/>
    </row>
    <row r="74" customFormat="false" ht="15" hidden="false" customHeight="false" outlineLevel="0" collapsed="false">
      <c r="A74" s="19" t="s">
        <v>299</v>
      </c>
      <c r="B74" s="20" t="n">
        <v>46292</v>
      </c>
      <c r="C74" s="19" t="n">
        <v>1</v>
      </c>
      <c r="D74" s="23" t="n">
        <v>0.25</v>
      </c>
      <c r="E74" s="23" t="n">
        <v>0.333333333333333</v>
      </c>
      <c r="F74" s="19" t="s">
        <v>80</v>
      </c>
      <c r="G74" s="19" t="s">
        <v>204</v>
      </c>
      <c r="H74" s="19" t="s">
        <v>219</v>
      </c>
      <c r="I74" s="19"/>
    </row>
    <row r="75" customFormat="false" ht="15" hidden="false" customHeight="false" outlineLevel="0" collapsed="false">
      <c r="A75" s="19" t="s">
        <v>300</v>
      </c>
      <c r="B75" s="20" t="n">
        <v>46292</v>
      </c>
      <c r="C75" s="19" t="n">
        <v>2</v>
      </c>
      <c r="D75" s="23" t="n">
        <v>0.333333333333333</v>
      </c>
      <c r="E75" s="23" t="n">
        <v>0.416666666666667</v>
      </c>
      <c r="F75" s="19" t="s">
        <v>79</v>
      </c>
      <c r="G75" s="19" t="s">
        <v>194</v>
      </c>
      <c r="H75" s="19" t="s">
        <v>238</v>
      </c>
      <c r="I75" s="19" t="s">
        <v>301</v>
      </c>
    </row>
    <row r="76" customFormat="false" ht="15" hidden="false" customHeight="false" outlineLevel="0" collapsed="false">
      <c r="A76" s="19" t="s">
        <v>302</v>
      </c>
      <c r="B76" s="20" t="n">
        <v>46292</v>
      </c>
      <c r="C76" s="19" t="n">
        <v>3</v>
      </c>
      <c r="D76" s="23" t="n">
        <v>0.416666666666667</v>
      </c>
      <c r="E76" s="23" t="n">
        <v>0.5</v>
      </c>
      <c r="F76" s="19" t="s">
        <v>79</v>
      </c>
      <c r="G76" s="19" t="s">
        <v>206</v>
      </c>
      <c r="H76" s="19" t="s">
        <v>219</v>
      </c>
      <c r="I76" s="19"/>
    </row>
    <row r="77" customFormat="false" ht="15" hidden="false" customHeight="false" outlineLevel="0" collapsed="false">
      <c r="A77" s="19" t="s">
        <v>303</v>
      </c>
      <c r="B77" s="20" t="n">
        <v>46292</v>
      </c>
      <c r="C77" s="19" t="n">
        <v>4</v>
      </c>
      <c r="D77" s="23" t="n">
        <v>0.5</v>
      </c>
      <c r="E77" s="23" t="n">
        <v>0.583333333333333</v>
      </c>
      <c r="F77" s="19" t="s">
        <v>79</v>
      </c>
      <c r="G77" s="19" t="s">
        <v>209</v>
      </c>
      <c r="H77" s="19" t="s">
        <v>238</v>
      </c>
      <c r="I77" s="19" t="s">
        <v>304</v>
      </c>
    </row>
    <row r="78" customFormat="false" ht="15" hidden="false" customHeight="false" outlineLevel="0" collapsed="false">
      <c r="A78" s="19" t="s">
        <v>305</v>
      </c>
      <c r="B78" s="20" t="n">
        <v>46292</v>
      </c>
      <c r="C78" s="19" t="n">
        <v>5</v>
      </c>
      <c r="D78" s="23" t="n">
        <v>0.583333333333333</v>
      </c>
      <c r="E78" s="23" t="n">
        <v>0.666666666666667</v>
      </c>
      <c r="F78" s="19" t="s">
        <v>79</v>
      </c>
      <c r="G78" s="19" t="s">
        <v>208</v>
      </c>
      <c r="H78" s="19" t="s">
        <v>219</v>
      </c>
      <c r="I78" s="19"/>
    </row>
    <row r="79" customFormat="false" ht="15" hidden="false" customHeight="false" outlineLevel="0" collapsed="false">
      <c r="A79" s="19" t="s">
        <v>306</v>
      </c>
      <c r="B79" s="20" t="n">
        <v>46292</v>
      </c>
      <c r="C79" s="19" t="n">
        <v>6</v>
      </c>
      <c r="D79" s="23" t="n">
        <v>0.6875</v>
      </c>
      <c r="E79" s="23" t="n">
        <v>0.770833333333333</v>
      </c>
      <c r="F79" s="19" t="s">
        <v>80</v>
      </c>
      <c r="G79" s="19" t="s">
        <v>209</v>
      </c>
      <c r="H79" s="19" t="s">
        <v>222</v>
      </c>
      <c r="I79" s="19" t="s">
        <v>223</v>
      </c>
    </row>
    <row r="80" customFormat="false" ht="15" hidden="false" customHeight="false" outlineLevel="0" collapsed="false">
      <c r="A80" s="19" t="s">
        <v>307</v>
      </c>
      <c r="B80" s="20" t="n">
        <v>46293</v>
      </c>
      <c r="C80" s="19" t="n">
        <v>1</v>
      </c>
      <c r="D80" s="23" t="n">
        <v>0.25</v>
      </c>
      <c r="E80" s="23" t="n">
        <v>0.333333333333333</v>
      </c>
      <c r="F80" s="19" t="s">
        <v>80</v>
      </c>
      <c r="G80" s="19" t="s">
        <v>210</v>
      </c>
      <c r="H80" s="19" t="s">
        <v>219</v>
      </c>
      <c r="I80" s="19"/>
    </row>
    <row r="81" customFormat="false" ht="15" hidden="false" customHeight="false" outlineLevel="0" collapsed="false">
      <c r="A81" s="19" t="s">
        <v>308</v>
      </c>
      <c r="B81" s="20" t="n">
        <v>46293</v>
      </c>
      <c r="C81" s="19" t="n">
        <v>2</v>
      </c>
      <c r="D81" s="23" t="n">
        <v>0.333333333333333</v>
      </c>
      <c r="E81" s="23" t="n">
        <v>0.416666666666667</v>
      </c>
      <c r="F81" s="19" t="s">
        <v>79</v>
      </c>
      <c r="G81" s="19" t="s">
        <v>211</v>
      </c>
      <c r="H81" s="19" t="s">
        <v>219</v>
      </c>
      <c r="I81" s="19"/>
    </row>
    <row r="82" customFormat="false" ht="15" hidden="false" customHeight="false" outlineLevel="0" collapsed="false">
      <c r="A82" s="19" t="s">
        <v>309</v>
      </c>
      <c r="B82" s="20" t="n">
        <v>46293</v>
      </c>
      <c r="C82" s="19" t="n">
        <v>3</v>
      </c>
      <c r="D82" s="23" t="n">
        <v>0.416666666666667</v>
      </c>
      <c r="E82" s="23" t="n">
        <v>0.5</v>
      </c>
      <c r="F82" s="19" t="s">
        <v>79</v>
      </c>
      <c r="G82" s="19" t="s">
        <v>194</v>
      </c>
      <c r="H82" s="19" t="s">
        <v>219</v>
      </c>
      <c r="I82" s="19"/>
    </row>
    <row r="83" customFormat="false" ht="15" hidden="false" customHeight="false" outlineLevel="0" collapsed="false">
      <c r="A83" s="19" t="s">
        <v>310</v>
      </c>
      <c r="B83" s="20" t="n">
        <v>46293</v>
      </c>
      <c r="C83" s="19" t="n">
        <v>4</v>
      </c>
      <c r="D83" s="23" t="n">
        <v>0.5</v>
      </c>
      <c r="E83" s="23" t="n">
        <v>0.583333333333333</v>
      </c>
      <c r="F83" s="19" t="s">
        <v>79</v>
      </c>
      <c r="G83" s="19" t="s">
        <v>196</v>
      </c>
      <c r="H83" s="19" t="s">
        <v>219</v>
      </c>
      <c r="I83" s="19"/>
    </row>
    <row r="84" customFormat="false" ht="15" hidden="false" customHeight="false" outlineLevel="0" collapsed="false">
      <c r="A84" s="19" t="s">
        <v>311</v>
      </c>
      <c r="B84" s="20" t="n">
        <v>46293</v>
      </c>
      <c r="C84" s="19" t="n">
        <v>5</v>
      </c>
      <c r="D84" s="23" t="n">
        <v>0.583333333333333</v>
      </c>
      <c r="E84" s="23" t="n">
        <v>0.666666666666667</v>
      </c>
      <c r="F84" s="19" t="s">
        <v>81</v>
      </c>
      <c r="G84" s="19" t="s">
        <v>198</v>
      </c>
      <c r="H84" s="19" t="s">
        <v>219</v>
      </c>
      <c r="I84" s="19"/>
    </row>
    <row r="85" customFormat="false" ht="15" hidden="false" customHeight="false" outlineLevel="0" collapsed="false">
      <c r="A85" s="19" t="s">
        <v>312</v>
      </c>
      <c r="B85" s="20" t="n">
        <v>46293</v>
      </c>
      <c r="C85" s="19" t="n">
        <v>6</v>
      </c>
      <c r="D85" s="23" t="n">
        <v>0.6875</v>
      </c>
      <c r="E85" s="23" t="n">
        <v>0.770833333333333</v>
      </c>
      <c r="F85" s="19" t="s">
        <v>81</v>
      </c>
      <c r="G85" s="19" t="s">
        <v>203</v>
      </c>
      <c r="H85" s="19" t="s">
        <v>238</v>
      </c>
      <c r="I85" s="19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1" min="10" style="0" width="24"/>
    <col collapsed="false" customWidth="true" hidden="false" outlineLevel="0" max="14" min="12" style="0" width="11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5"/>
    <col collapsed="false" customWidth="true" hidden="false" outlineLevel="0" max="19" min="19" style="0" width="34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0"/>
  </cols>
  <sheetData>
    <row r="1" customFormat="false" ht="31.5" hidden="false" customHeight="true" outlineLevel="0" collapsed="false">
      <c r="A1" s="18" t="s">
        <v>313</v>
      </c>
      <c r="B1" s="18" t="s">
        <v>213</v>
      </c>
      <c r="C1" s="18" t="s">
        <v>212</v>
      </c>
      <c r="D1" s="18" t="s">
        <v>217</v>
      </c>
      <c r="E1" s="18" t="s">
        <v>314</v>
      </c>
      <c r="F1" s="18" t="s">
        <v>315</v>
      </c>
      <c r="G1" s="18" t="s">
        <v>215</v>
      </c>
      <c r="H1" s="18" t="s">
        <v>216</v>
      </c>
      <c r="I1" s="18" t="s">
        <v>316</v>
      </c>
      <c r="J1" s="18" t="s">
        <v>317</v>
      </c>
      <c r="K1" s="18" t="s">
        <v>94</v>
      </c>
      <c r="L1" s="18" t="s">
        <v>77</v>
      </c>
      <c r="M1" s="18" t="s">
        <v>318</v>
      </c>
      <c r="N1" s="18" t="s">
        <v>319</v>
      </c>
      <c r="O1" s="18" t="s">
        <v>320</v>
      </c>
      <c r="P1" s="18" t="s">
        <v>321</v>
      </c>
      <c r="Q1" s="18" t="s">
        <v>322</v>
      </c>
      <c r="R1" s="18" t="s">
        <v>323</v>
      </c>
      <c r="S1" s="18" t="s">
        <v>324</v>
      </c>
      <c r="T1" s="18" t="s">
        <v>325</v>
      </c>
      <c r="U1" s="18" t="s">
        <v>326</v>
      </c>
      <c r="V1" s="18" t="s">
        <v>327</v>
      </c>
    </row>
    <row r="2" customFormat="false" ht="15" hidden="false" customHeight="false" outlineLevel="0" collapsed="false">
      <c r="A2" s="19" t="s">
        <v>328</v>
      </c>
      <c r="B2" s="20" t="n">
        <v>46280</v>
      </c>
      <c r="C2" s="19" t="s">
        <v>218</v>
      </c>
      <c r="D2" s="19" t="s">
        <v>194</v>
      </c>
      <c r="E2" s="22" t="n">
        <f aca="false">INDEX(Households!$B$2:$B$17,MATCH(D2,Households!$A$2:$A$17,0))</f>
        <v>4</v>
      </c>
      <c r="F2" s="19" t="n">
        <v>4</v>
      </c>
      <c r="G2" s="23" t="n">
        <v>0.25</v>
      </c>
      <c r="H2" s="23" t="n">
        <v>0.28125</v>
      </c>
      <c r="I2" s="22" t="n">
        <f aca="false">ROUND((H2-G2)*1440,0)</f>
        <v>45</v>
      </c>
      <c r="J2" s="19" t="s">
        <v>329</v>
      </c>
      <c r="K2" s="19" t="s">
        <v>96</v>
      </c>
      <c r="L2" s="19" t="s">
        <v>80</v>
      </c>
      <c r="M2" s="19" t="s">
        <v>330</v>
      </c>
      <c r="N2" s="19" t="s">
        <v>330</v>
      </c>
      <c r="O2" s="19" t="s">
        <v>331</v>
      </c>
      <c r="P2" s="19"/>
      <c r="Q2" s="19" t="s">
        <v>331</v>
      </c>
      <c r="R2" s="19"/>
      <c r="S2" s="19"/>
      <c r="T2" s="22" t="n">
        <f aca="false">ROUND(INDEX(Appliances!$C$2:$C$4,MATCH(K2,Appliances!$B$2:$B$4,0))*I2/60*Config!$B$10,2)</f>
        <v>0.45</v>
      </c>
      <c r="U2" s="22" t="n">
        <f aca="false">ROUND(I2/F2,1)</f>
        <v>11.3</v>
      </c>
      <c r="V2" s="22" t="str">
        <f aca="false">IF(F2&lt;=3,"1-3",IF(F2&lt;=5,"4-5",IF(F2&lt;=7,"6-7","8+")))</f>
        <v>4-5</v>
      </c>
    </row>
    <row r="3" customFormat="false" ht="15" hidden="false" customHeight="false" outlineLevel="0" collapsed="false">
      <c r="A3" s="19" t="s">
        <v>332</v>
      </c>
      <c r="B3" s="20" t="n">
        <v>46280</v>
      </c>
      <c r="C3" s="19" t="s">
        <v>220</v>
      </c>
      <c r="D3" s="19" t="s">
        <v>196</v>
      </c>
      <c r="E3" s="22" t="n">
        <f aca="false">INDEX(Households!$B$2:$B$17,MATCH(D3,Households!$A$2:$A$17,0))</f>
        <v>6</v>
      </c>
      <c r="F3" s="19" t="n">
        <v>6</v>
      </c>
      <c r="G3" s="23" t="n">
        <v>0.340277777777778</v>
      </c>
      <c r="H3" s="23" t="n">
        <v>0.385416666666667</v>
      </c>
      <c r="I3" s="22" t="n">
        <f aca="false">ROUND((H3-G3)*1440,0)</f>
        <v>65</v>
      </c>
      <c r="J3" s="19" t="s">
        <v>333</v>
      </c>
      <c r="K3" s="19" t="s">
        <v>95</v>
      </c>
      <c r="L3" s="19" t="s">
        <v>79</v>
      </c>
      <c r="M3" s="19" t="s">
        <v>330</v>
      </c>
      <c r="N3" s="19" t="s">
        <v>330</v>
      </c>
      <c r="O3" s="19" t="s">
        <v>331</v>
      </c>
      <c r="P3" s="19"/>
      <c r="Q3" s="19" t="s">
        <v>331</v>
      </c>
      <c r="R3" s="19"/>
      <c r="S3" s="19"/>
      <c r="T3" s="22" t="n">
        <f aca="false">ROUND(INDEX(Appliances!$C$2:$C$4,MATCH(K3,Appliances!$B$2:$B$4,0))*I3/60*Config!$B$10,2)</f>
        <v>1.3</v>
      </c>
      <c r="U3" s="22" t="n">
        <f aca="false">ROUND(I3/F3,1)</f>
        <v>10.8</v>
      </c>
      <c r="V3" s="22" t="str">
        <f aca="false">IF(F3&lt;=3,"1-3",IF(F3&lt;=5,"4-5",IF(F3&lt;=7,"6-7","8+")))</f>
        <v>6-7</v>
      </c>
    </row>
    <row r="4" customFormat="false" ht="15" hidden="false" customHeight="false" outlineLevel="0" collapsed="false">
      <c r="A4" s="19" t="s">
        <v>334</v>
      </c>
      <c r="B4" s="20" t="n">
        <v>46280</v>
      </c>
      <c r="C4" s="19" t="s">
        <v>224</v>
      </c>
      <c r="D4" s="19" t="s">
        <v>199</v>
      </c>
      <c r="E4" s="22" t="n">
        <f aca="false">INDEX(Households!$B$2:$B$17,MATCH(D4,Households!$A$2:$A$17,0))</f>
        <v>5</v>
      </c>
      <c r="F4" s="19" t="n">
        <v>5</v>
      </c>
      <c r="G4" s="23" t="n">
        <v>0.506944444444444</v>
      </c>
      <c r="H4" s="23" t="n">
        <v>0.545138888888889</v>
      </c>
      <c r="I4" s="22" t="n">
        <f aca="false">ROUND((H4-G4)*1440,0)</f>
        <v>55</v>
      </c>
      <c r="J4" s="19" t="s">
        <v>335</v>
      </c>
      <c r="K4" s="19" t="s">
        <v>96</v>
      </c>
      <c r="L4" s="19" t="s">
        <v>79</v>
      </c>
      <c r="M4" s="19" t="s">
        <v>330</v>
      </c>
      <c r="N4" s="19" t="s">
        <v>330</v>
      </c>
      <c r="O4" s="19" t="s">
        <v>331</v>
      </c>
      <c r="P4" s="19"/>
      <c r="Q4" s="19" t="s">
        <v>331</v>
      </c>
      <c r="R4" s="19"/>
      <c r="S4" s="19"/>
      <c r="T4" s="22" t="n">
        <f aca="false">ROUND(INDEX(Appliances!$C$2:$C$4,MATCH(K4,Appliances!$B$2:$B$4,0))*I4/60*Config!$B$10,2)</f>
        <v>0.55</v>
      </c>
      <c r="U4" s="22" t="n">
        <f aca="false">ROUND(I4/F4,1)</f>
        <v>11</v>
      </c>
      <c r="V4" s="22" t="str">
        <f aca="false">IF(F4&lt;=3,"1-3",IF(F4&lt;=5,"4-5",IF(F4&lt;=7,"6-7","8+")))</f>
        <v>4-5</v>
      </c>
    </row>
    <row r="5" customFormat="false" ht="15" hidden="false" customHeight="false" outlineLevel="0" collapsed="false">
      <c r="A5" s="19" t="s">
        <v>336</v>
      </c>
      <c r="B5" s="20" t="n">
        <v>46280</v>
      </c>
      <c r="C5" s="19" t="s">
        <v>225</v>
      </c>
      <c r="D5" s="19" t="s">
        <v>200</v>
      </c>
      <c r="E5" s="22" t="n">
        <f aca="false">INDEX(Households!$B$2:$B$17,MATCH(D5,Households!$A$2:$A$17,0))</f>
        <v>7</v>
      </c>
      <c r="F5" s="19" t="n">
        <v>6</v>
      </c>
      <c r="G5" s="23" t="n">
        <v>0.586805555555556</v>
      </c>
      <c r="H5" s="23" t="n">
        <v>0.631944444444444</v>
      </c>
      <c r="I5" s="22" t="n">
        <f aca="false">ROUND((H5-G5)*1440,0)</f>
        <v>65</v>
      </c>
      <c r="J5" s="19" t="s">
        <v>337</v>
      </c>
      <c r="K5" s="19" t="s">
        <v>96</v>
      </c>
      <c r="L5" s="19" t="s">
        <v>81</v>
      </c>
      <c r="M5" s="19" t="s">
        <v>330</v>
      </c>
      <c r="N5" s="19" t="s">
        <v>330</v>
      </c>
      <c r="O5" s="19" t="s">
        <v>331</v>
      </c>
      <c r="P5" s="19"/>
      <c r="Q5" s="19" t="s">
        <v>331</v>
      </c>
      <c r="R5" s="19"/>
      <c r="S5" s="19"/>
      <c r="T5" s="22" t="n">
        <f aca="false">ROUND(INDEX(Appliances!$C$2:$C$4,MATCH(K5,Appliances!$B$2:$B$4,0))*I5/60*Config!$B$10,2)</f>
        <v>0.65</v>
      </c>
      <c r="U5" s="22" t="n">
        <f aca="false">ROUND(I5/F5,1)</f>
        <v>10.8</v>
      </c>
      <c r="V5" s="22" t="str">
        <f aca="false">IF(F5&lt;=3,"1-3",IF(F5&lt;=5,"4-5",IF(F5&lt;=7,"6-7","8+")))</f>
        <v>6-7</v>
      </c>
    </row>
    <row r="6" customFormat="false" ht="15" hidden="false" customHeight="false" outlineLevel="0" collapsed="false">
      <c r="A6" s="19" t="s">
        <v>338</v>
      </c>
      <c r="B6" s="20" t="n">
        <v>46280</v>
      </c>
      <c r="C6" s="19" t="s">
        <v>226</v>
      </c>
      <c r="D6" s="19" t="s">
        <v>201</v>
      </c>
      <c r="E6" s="22" t="n">
        <f aca="false">INDEX(Households!$B$2:$B$17,MATCH(D6,Households!$A$2:$A$17,0))</f>
        <v>5</v>
      </c>
      <c r="F6" s="19" t="n">
        <v>5</v>
      </c>
      <c r="G6" s="23" t="n">
        <v>0.690972222222222</v>
      </c>
      <c r="H6" s="23" t="n">
        <v>0.71875</v>
      </c>
      <c r="I6" s="22" t="n">
        <f aca="false">ROUND((H6-G6)*1440,0)</f>
        <v>40</v>
      </c>
      <c r="J6" s="19" t="s">
        <v>329</v>
      </c>
      <c r="K6" s="19" t="s">
        <v>96</v>
      </c>
      <c r="L6" s="19" t="s">
        <v>81</v>
      </c>
      <c r="M6" s="19" t="s">
        <v>330</v>
      </c>
      <c r="N6" s="19" t="s">
        <v>330</v>
      </c>
      <c r="O6" s="19" t="s">
        <v>331</v>
      </c>
      <c r="P6" s="19"/>
      <c r="Q6" s="19" t="s">
        <v>331</v>
      </c>
      <c r="R6" s="19"/>
      <c r="S6" s="19"/>
      <c r="T6" s="22" t="n">
        <f aca="false">ROUND(INDEX(Appliances!$C$2:$C$4,MATCH(K6,Appliances!$B$2:$B$4,0))*I6/60*Config!$B$10,2)</f>
        <v>0.4</v>
      </c>
      <c r="U6" s="22" t="n">
        <f aca="false">ROUND(I6/F6,1)</f>
        <v>8</v>
      </c>
      <c r="V6" s="22" t="str">
        <f aca="false">IF(F6&lt;=3,"1-3",IF(F6&lt;=5,"4-5",IF(F6&lt;=7,"6-7","8+")))</f>
        <v>4-5</v>
      </c>
    </row>
    <row r="7" customFormat="false" ht="15" hidden="false" customHeight="false" outlineLevel="0" collapsed="false">
      <c r="A7" s="19" t="s">
        <v>339</v>
      </c>
      <c r="B7" s="20" t="n">
        <v>46281</v>
      </c>
      <c r="C7" s="19" t="s">
        <v>227</v>
      </c>
      <c r="D7" s="19" t="s">
        <v>202</v>
      </c>
      <c r="E7" s="22" t="n">
        <f aca="false">INDEX(Households!$B$2:$B$17,MATCH(D7,Households!$A$2:$A$17,0))</f>
        <v>8</v>
      </c>
      <c r="F7" s="19" t="n">
        <v>8</v>
      </c>
      <c r="G7" s="23" t="n">
        <v>0.253472222222222</v>
      </c>
      <c r="H7" s="23" t="n">
        <v>0.326388888888889</v>
      </c>
      <c r="I7" s="22" t="n">
        <f aca="false">ROUND((H7-G7)*1440,0)</f>
        <v>105</v>
      </c>
      <c r="J7" s="19" t="s">
        <v>340</v>
      </c>
      <c r="K7" s="19" t="s">
        <v>96</v>
      </c>
      <c r="L7" s="19" t="s">
        <v>80</v>
      </c>
      <c r="M7" s="19" t="s">
        <v>330</v>
      </c>
      <c r="N7" s="19" t="s">
        <v>330</v>
      </c>
      <c r="O7" s="19" t="s">
        <v>331</v>
      </c>
      <c r="P7" s="19"/>
      <c r="Q7" s="19" t="s">
        <v>331</v>
      </c>
      <c r="R7" s="19"/>
      <c r="S7" s="19" t="s">
        <v>341</v>
      </c>
      <c r="T7" s="22" t="n">
        <f aca="false">ROUND(INDEX(Appliances!$C$2:$C$4,MATCH(K7,Appliances!$B$2:$B$4,0))*I7/60*Config!$B$10,2)</f>
        <v>1.05</v>
      </c>
      <c r="U7" s="22" t="n">
        <f aca="false">ROUND(I7/F7,1)</f>
        <v>13.1</v>
      </c>
      <c r="V7" s="22" t="str">
        <f aca="false">IF(F7&lt;=3,"1-3",IF(F7&lt;=5,"4-5",IF(F7&lt;=7,"6-7","8+")))</f>
        <v>8+</v>
      </c>
    </row>
    <row r="8" customFormat="false" ht="15" hidden="false" customHeight="false" outlineLevel="0" collapsed="false">
      <c r="A8" s="19" t="s">
        <v>342</v>
      </c>
      <c r="B8" s="20" t="n">
        <v>46281</v>
      </c>
      <c r="C8" s="19" t="s">
        <v>228</v>
      </c>
      <c r="D8" s="19" t="s">
        <v>203</v>
      </c>
      <c r="E8" s="22" t="n">
        <f aca="false">INDEX(Households!$B$2:$B$17,MATCH(D8,Households!$A$2:$A$17,0))</f>
        <v>4</v>
      </c>
      <c r="F8" s="19" t="n">
        <v>4</v>
      </c>
      <c r="G8" s="23" t="n">
        <v>0.333333333333333</v>
      </c>
      <c r="H8" s="23" t="n">
        <v>0.371527777777778</v>
      </c>
      <c r="I8" s="22" t="n">
        <f aca="false">ROUND((H8-G8)*1440,0)</f>
        <v>55</v>
      </c>
      <c r="J8" s="19" t="s">
        <v>91</v>
      </c>
      <c r="K8" s="19" t="s">
        <v>96</v>
      </c>
      <c r="L8" s="19" t="s">
        <v>79</v>
      </c>
      <c r="M8" s="19" t="s">
        <v>330</v>
      </c>
      <c r="N8" s="19" t="s">
        <v>330</v>
      </c>
      <c r="O8" s="19" t="s">
        <v>331</v>
      </c>
      <c r="P8" s="19"/>
      <c r="Q8" s="19" t="s">
        <v>330</v>
      </c>
      <c r="R8" s="19" t="s">
        <v>159</v>
      </c>
      <c r="S8" s="19"/>
      <c r="T8" s="22" t="n">
        <f aca="false">ROUND(INDEX(Appliances!$C$2:$C$4,MATCH(K8,Appliances!$B$2:$B$4,0))*I8/60*Config!$B$10,2)</f>
        <v>0.55</v>
      </c>
      <c r="U8" s="22" t="n">
        <f aca="false">ROUND(I8/F8,1)</f>
        <v>13.8</v>
      </c>
      <c r="V8" s="22" t="str">
        <f aca="false">IF(F8&lt;=3,"1-3",IF(F8&lt;=5,"4-5",IF(F8&lt;=7,"6-7","8+")))</f>
        <v>4-5</v>
      </c>
    </row>
    <row r="9" customFormat="false" ht="15" hidden="false" customHeight="false" outlineLevel="0" collapsed="false">
      <c r="A9" s="19" t="s">
        <v>343</v>
      </c>
      <c r="B9" s="20" t="n">
        <v>46281</v>
      </c>
      <c r="C9" s="19" t="s">
        <v>229</v>
      </c>
      <c r="D9" s="19" t="s">
        <v>204</v>
      </c>
      <c r="E9" s="22" t="n">
        <f aca="false">INDEX(Households!$B$2:$B$17,MATCH(D9,Households!$A$2:$A$17,0))</f>
        <v>6</v>
      </c>
      <c r="F9" s="19" t="n">
        <v>6</v>
      </c>
      <c r="G9" s="23" t="n">
        <v>0.416666666666667</v>
      </c>
      <c r="H9" s="23" t="n">
        <v>0.447916666666667</v>
      </c>
      <c r="I9" s="22" t="n">
        <f aca="false">ROUND((H9-G9)*1440,0)</f>
        <v>45</v>
      </c>
      <c r="J9" s="19" t="s">
        <v>329</v>
      </c>
      <c r="K9" s="19" t="s">
        <v>96</v>
      </c>
      <c r="L9" s="19" t="s">
        <v>79</v>
      </c>
      <c r="M9" s="19" t="s">
        <v>330</v>
      </c>
      <c r="N9" s="19" t="s">
        <v>330</v>
      </c>
      <c r="O9" s="19" t="s">
        <v>331</v>
      </c>
      <c r="P9" s="19"/>
      <c r="Q9" s="19" t="s">
        <v>331</v>
      </c>
      <c r="R9" s="19"/>
      <c r="S9" s="19"/>
      <c r="T9" s="22" t="n">
        <f aca="false">ROUND(INDEX(Appliances!$C$2:$C$4,MATCH(K9,Appliances!$B$2:$B$4,0))*I9/60*Config!$B$10,2)</f>
        <v>0.45</v>
      </c>
      <c r="U9" s="22" t="n">
        <f aca="false">ROUND(I9/F9,1)</f>
        <v>7.5</v>
      </c>
      <c r="V9" s="22" t="str">
        <f aca="false">IF(F9&lt;=3,"1-3",IF(F9&lt;=5,"4-5",IF(F9&lt;=7,"6-7","8+")))</f>
        <v>6-7</v>
      </c>
    </row>
    <row r="10" customFormat="false" ht="15" hidden="false" customHeight="false" outlineLevel="0" collapsed="false">
      <c r="A10" s="19" t="s">
        <v>344</v>
      </c>
      <c r="B10" s="20" t="n">
        <v>46281</v>
      </c>
      <c r="C10" s="19" t="s">
        <v>230</v>
      </c>
      <c r="D10" s="19" t="s">
        <v>205</v>
      </c>
      <c r="E10" s="22" t="n">
        <f aca="false">INDEX(Households!$B$2:$B$17,MATCH(D10,Households!$A$2:$A$17,0))</f>
        <v>3</v>
      </c>
      <c r="F10" s="19" t="n">
        <v>3</v>
      </c>
      <c r="G10" s="23" t="n">
        <v>0.5</v>
      </c>
      <c r="H10" s="23" t="n">
        <v>0.538194444444444</v>
      </c>
      <c r="I10" s="22" t="n">
        <f aca="false">ROUND((H10-G10)*1440,0)</f>
        <v>55</v>
      </c>
      <c r="J10" s="19" t="s">
        <v>345</v>
      </c>
      <c r="K10" s="19" t="s">
        <v>96</v>
      </c>
      <c r="L10" s="19" t="s">
        <v>79</v>
      </c>
      <c r="M10" s="19" t="s">
        <v>330</v>
      </c>
      <c r="N10" s="19" t="s">
        <v>330</v>
      </c>
      <c r="O10" s="19" t="s">
        <v>331</v>
      </c>
      <c r="P10" s="19"/>
      <c r="Q10" s="19" t="s">
        <v>331</v>
      </c>
      <c r="R10" s="19"/>
      <c r="S10" s="19"/>
      <c r="T10" s="22" t="n">
        <f aca="false">ROUND(INDEX(Appliances!$C$2:$C$4,MATCH(K10,Appliances!$B$2:$B$4,0))*I10/60*Config!$B$10,2)</f>
        <v>0.55</v>
      </c>
      <c r="U10" s="22" t="n">
        <f aca="false">ROUND(I10/F10,1)</f>
        <v>18.3</v>
      </c>
      <c r="V10" s="22" t="str">
        <f aca="false">IF(F10&lt;=3,"1-3",IF(F10&lt;=5,"4-5",IF(F10&lt;=7,"6-7","8+")))</f>
        <v>1-3</v>
      </c>
    </row>
    <row r="11" customFormat="false" ht="15" hidden="false" customHeight="false" outlineLevel="0" collapsed="false">
      <c r="A11" s="19" t="s">
        <v>346</v>
      </c>
      <c r="B11" s="20" t="n">
        <v>46281</v>
      </c>
      <c r="C11" s="19" t="s">
        <v>231</v>
      </c>
      <c r="D11" s="19" t="s">
        <v>206</v>
      </c>
      <c r="E11" s="22" t="n">
        <f aca="false">INDEX(Households!$B$2:$B$17,MATCH(D11,Households!$A$2:$A$17,0))</f>
        <v>5</v>
      </c>
      <c r="F11" s="19" t="n">
        <v>5</v>
      </c>
      <c r="G11" s="23" t="n">
        <v>0.590277777777778</v>
      </c>
      <c r="H11" s="23" t="n">
        <v>0.628472222222222</v>
      </c>
      <c r="I11" s="22" t="n">
        <f aca="false">ROUND((H11-G11)*1440,0)</f>
        <v>55</v>
      </c>
      <c r="J11" s="19" t="s">
        <v>345</v>
      </c>
      <c r="K11" s="19" t="s">
        <v>96</v>
      </c>
      <c r="L11" s="19" t="s">
        <v>81</v>
      </c>
      <c r="M11" s="19" t="s">
        <v>330</v>
      </c>
      <c r="N11" s="19" t="s">
        <v>330</v>
      </c>
      <c r="O11" s="19" t="s">
        <v>330</v>
      </c>
      <c r="P11" s="19" t="s">
        <v>157</v>
      </c>
      <c r="Q11" s="19" t="s">
        <v>331</v>
      </c>
      <c r="R11" s="19"/>
      <c r="S11" s="19" t="s">
        <v>347</v>
      </c>
      <c r="T11" s="22" t="n">
        <f aca="false">ROUND(INDEX(Appliances!$C$2:$C$4,MATCH(K11,Appliances!$B$2:$B$4,0))*I11/60*Config!$B$10,2)</f>
        <v>0.55</v>
      </c>
      <c r="U11" s="22" t="n">
        <f aca="false">ROUND(I11/F11,1)</f>
        <v>11</v>
      </c>
      <c r="V11" s="22" t="str">
        <f aca="false">IF(F11&lt;=3,"1-3",IF(F11&lt;=5,"4-5",IF(F11&lt;=7,"6-7","8+")))</f>
        <v>4-5</v>
      </c>
    </row>
    <row r="12" customFormat="false" ht="15" hidden="false" customHeight="false" outlineLevel="0" collapsed="false">
      <c r="A12" s="19" t="s">
        <v>348</v>
      </c>
      <c r="B12" s="20" t="n">
        <v>46281</v>
      </c>
      <c r="C12" s="19" t="s">
        <v>232</v>
      </c>
      <c r="D12" s="19" t="s">
        <v>207</v>
      </c>
      <c r="E12" s="22" t="n">
        <f aca="false">INDEX(Households!$B$2:$B$17,MATCH(D12,Households!$A$2:$A$17,0))</f>
        <v>7</v>
      </c>
      <c r="F12" s="19" t="n">
        <v>7</v>
      </c>
      <c r="G12" s="23" t="n">
        <v>0.6875</v>
      </c>
      <c r="H12" s="23" t="n">
        <v>0.770833333333333</v>
      </c>
      <c r="I12" s="22" t="n">
        <f aca="false">ROUND((H12-G12)*1440,0)</f>
        <v>120</v>
      </c>
      <c r="J12" s="19" t="s">
        <v>333</v>
      </c>
      <c r="K12" s="19" t="s">
        <v>95</v>
      </c>
      <c r="L12" s="19" t="s">
        <v>81</v>
      </c>
      <c r="M12" s="19" t="s">
        <v>330</v>
      </c>
      <c r="N12" s="19" t="s">
        <v>330</v>
      </c>
      <c r="O12" s="19" t="s">
        <v>331</v>
      </c>
      <c r="P12" s="19"/>
      <c r="Q12" s="19" t="s">
        <v>330</v>
      </c>
      <c r="R12" s="19" t="s">
        <v>160</v>
      </c>
      <c r="S12" s="19"/>
      <c r="T12" s="22" t="n">
        <f aca="false">ROUND(INDEX(Appliances!$C$2:$C$4,MATCH(K12,Appliances!$B$2:$B$4,0))*I12/60*Config!$B$10,2)</f>
        <v>2.4</v>
      </c>
      <c r="U12" s="22" t="n">
        <f aca="false">ROUND(I12/F12,1)</f>
        <v>17.1</v>
      </c>
      <c r="V12" s="22" t="str">
        <f aca="false">IF(F12&lt;=3,"1-3",IF(F12&lt;=5,"4-5",IF(F12&lt;=7,"6-7","8+")))</f>
        <v>6-7</v>
      </c>
    </row>
    <row r="13" customFormat="false" ht="15" hidden="false" customHeight="false" outlineLevel="0" collapsed="false">
      <c r="A13" s="19" t="s">
        <v>349</v>
      </c>
      <c r="B13" s="20" t="n">
        <v>46282</v>
      </c>
      <c r="C13" s="19" t="s">
        <v>233</v>
      </c>
      <c r="D13" s="19" t="s">
        <v>208</v>
      </c>
      <c r="E13" s="22" t="n">
        <f aca="false">INDEX(Households!$B$2:$B$17,MATCH(D13,Households!$A$2:$A$17,0))</f>
        <v>4</v>
      </c>
      <c r="F13" s="19" t="n">
        <v>4</v>
      </c>
      <c r="G13" s="23" t="n">
        <v>0.253472222222222</v>
      </c>
      <c r="H13" s="23" t="n">
        <v>0.295138888888889</v>
      </c>
      <c r="I13" s="22" t="n">
        <f aca="false">ROUND((H13-G13)*1440,0)</f>
        <v>60</v>
      </c>
      <c r="J13" s="19" t="s">
        <v>350</v>
      </c>
      <c r="K13" s="19" t="s">
        <v>95</v>
      </c>
      <c r="L13" s="19" t="s">
        <v>80</v>
      </c>
      <c r="M13" s="19" t="s">
        <v>330</v>
      </c>
      <c r="N13" s="19" t="s">
        <v>331</v>
      </c>
      <c r="O13" s="19" t="s">
        <v>331</v>
      </c>
      <c r="P13" s="19"/>
      <c r="Q13" s="19" t="s">
        <v>331</v>
      </c>
      <c r="R13" s="19"/>
      <c r="S13" s="19"/>
      <c r="T13" s="22" t="n">
        <f aca="false">ROUND(INDEX(Appliances!$C$2:$C$4,MATCH(K13,Appliances!$B$2:$B$4,0))*I13/60*Config!$B$10,2)</f>
        <v>1.2</v>
      </c>
      <c r="U13" s="22" t="n">
        <f aca="false">ROUND(I13/F13,1)</f>
        <v>15</v>
      </c>
      <c r="V13" s="22" t="str">
        <f aca="false">IF(F13&lt;=3,"1-3",IF(F13&lt;=5,"4-5",IF(F13&lt;=7,"6-7","8+")))</f>
        <v>4-5</v>
      </c>
    </row>
    <row r="14" customFormat="false" ht="15" hidden="false" customHeight="false" outlineLevel="0" collapsed="false">
      <c r="A14" s="19" t="s">
        <v>351</v>
      </c>
      <c r="B14" s="20" t="n">
        <v>46282</v>
      </c>
      <c r="C14" s="19" t="s">
        <v>234</v>
      </c>
      <c r="D14" s="19" t="s">
        <v>209</v>
      </c>
      <c r="E14" s="22" t="n">
        <f aca="false">INDEX(Households!$B$2:$B$17,MATCH(D14,Households!$A$2:$A$17,0))</f>
        <v>5</v>
      </c>
      <c r="F14" s="19" t="n">
        <v>4</v>
      </c>
      <c r="G14" s="23" t="n">
        <v>0.333333333333333</v>
      </c>
      <c r="H14" s="23" t="n">
        <v>0.368055555555556</v>
      </c>
      <c r="I14" s="22" t="n">
        <f aca="false">ROUND((H14-G14)*1440,0)</f>
        <v>50</v>
      </c>
      <c r="J14" s="19" t="s">
        <v>345</v>
      </c>
      <c r="K14" s="19" t="s">
        <v>96</v>
      </c>
      <c r="L14" s="19" t="s">
        <v>79</v>
      </c>
      <c r="M14" s="19" t="s">
        <v>330</v>
      </c>
      <c r="N14" s="19" t="s">
        <v>330</v>
      </c>
      <c r="O14" s="19" t="s">
        <v>331</v>
      </c>
      <c r="P14" s="19"/>
      <c r="Q14" s="19" t="s">
        <v>331</v>
      </c>
      <c r="R14" s="19"/>
      <c r="S14" s="19"/>
      <c r="T14" s="22" t="n">
        <f aca="false">ROUND(INDEX(Appliances!$C$2:$C$4,MATCH(K14,Appliances!$B$2:$B$4,0))*I14/60*Config!$B$10,2)</f>
        <v>0.5</v>
      </c>
      <c r="U14" s="22" t="n">
        <f aca="false">ROUND(I14/F14,1)</f>
        <v>12.5</v>
      </c>
      <c r="V14" s="22" t="str">
        <f aca="false">IF(F14&lt;=3,"1-3",IF(F14&lt;=5,"4-5",IF(F14&lt;=7,"6-7","8+")))</f>
        <v>4-5</v>
      </c>
    </row>
    <row r="15" customFormat="false" ht="15" hidden="false" customHeight="false" outlineLevel="0" collapsed="false">
      <c r="A15" s="19" t="s">
        <v>352</v>
      </c>
      <c r="B15" s="20" t="n">
        <v>46282</v>
      </c>
      <c r="C15" s="19" t="s">
        <v>235</v>
      </c>
      <c r="D15" s="19" t="s">
        <v>210</v>
      </c>
      <c r="E15" s="22" t="n">
        <f aca="false">INDEX(Households!$B$2:$B$17,MATCH(D15,Households!$A$2:$A$17,0))</f>
        <v>6</v>
      </c>
      <c r="F15" s="19" t="n">
        <v>5</v>
      </c>
      <c r="G15" s="23" t="n">
        <v>0.420138888888889</v>
      </c>
      <c r="H15" s="23" t="n">
        <v>0.447916666666667</v>
      </c>
      <c r="I15" s="22" t="n">
        <f aca="false">ROUND((H15-G15)*1440,0)</f>
        <v>40</v>
      </c>
      <c r="J15" s="19" t="s">
        <v>91</v>
      </c>
      <c r="K15" s="19" t="s">
        <v>96</v>
      </c>
      <c r="L15" s="19" t="s">
        <v>79</v>
      </c>
      <c r="M15" s="19" t="s">
        <v>330</v>
      </c>
      <c r="N15" s="19" t="s">
        <v>331</v>
      </c>
      <c r="O15" s="19" t="s">
        <v>331</v>
      </c>
      <c r="P15" s="19"/>
      <c r="Q15" s="19" t="s">
        <v>331</v>
      </c>
      <c r="R15" s="19"/>
      <c r="S15" s="19"/>
      <c r="T15" s="22" t="n">
        <f aca="false">ROUND(INDEX(Appliances!$C$2:$C$4,MATCH(K15,Appliances!$B$2:$B$4,0))*I15/60*Config!$B$10,2)</f>
        <v>0.4</v>
      </c>
      <c r="U15" s="22" t="n">
        <f aca="false">ROUND(I15/F15,1)</f>
        <v>8</v>
      </c>
      <c r="V15" s="22" t="str">
        <f aca="false">IF(F15&lt;=3,"1-3",IF(F15&lt;=5,"4-5",IF(F15&lt;=7,"6-7","8+")))</f>
        <v>4-5</v>
      </c>
    </row>
    <row r="16" customFormat="false" ht="15" hidden="false" customHeight="false" outlineLevel="0" collapsed="false">
      <c r="A16" s="19" t="s">
        <v>353</v>
      </c>
      <c r="B16" s="20" t="n">
        <v>46282</v>
      </c>
      <c r="C16" s="19" t="s">
        <v>236</v>
      </c>
      <c r="D16" s="19" t="s">
        <v>211</v>
      </c>
      <c r="E16" s="22" t="n">
        <f aca="false">INDEX(Households!$B$2:$B$17,MATCH(D16,Households!$A$2:$A$17,0))</f>
        <v>3</v>
      </c>
      <c r="F16" s="19" t="n">
        <v>3</v>
      </c>
      <c r="G16" s="23" t="n">
        <v>0.506944444444444</v>
      </c>
      <c r="H16" s="23" t="n">
        <v>0.545138888888889</v>
      </c>
      <c r="I16" s="22" t="n">
        <f aca="false">ROUND((H16-G16)*1440,0)</f>
        <v>55</v>
      </c>
      <c r="J16" s="19" t="s">
        <v>345</v>
      </c>
      <c r="K16" s="19" t="s">
        <v>96</v>
      </c>
      <c r="L16" s="19" t="s">
        <v>79</v>
      </c>
      <c r="M16" s="19" t="s">
        <v>330</v>
      </c>
      <c r="N16" s="19" t="s">
        <v>330</v>
      </c>
      <c r="O16" s="19" t="s">
        <v>331</v>
      </c>
      <c r="P16" s="19"/>
      <c r="Q16" s="19" t="s">
        <v>331</v>
      </c>
      <c r="R16" s="19"/>
      <c r="S16" s="19"/>
      <c r="T16" s="22" t="n">
        <f aca="false">ROUND(INDEX(Appliances!$C$2:$C$4,MATCH(K16,Appliances!$B$2:$B$4,0))*I16/60*Config!$B$10,2)</f>
        <v>0.55</v>
      </c>
      <c r="U16" s="22" t="n">
        <f aca="false">ROUND(I16/F16,1)</f>
        <v>18.3</v>
      </c>
      <c r="V16" s="22" t="str">
        <f aca="false">IF(F16&lt;=3,"1-3",IF(F16&lt;=5,"4-5",IF(F16&lt;=7,"6-7","8+")))</f>
        <v>1-3</v>
      </c>
    </row>
    <row r="17" customFormat="false" ht="15" hidden="false" customHeight="false" outlineLevel="0" collapsed="false">
      <c r="A17" s="19" t="s">
        <v>354</v>
      </c>
      <c r="B17" s="20" t="n">
        <v>46282</v>
      </c>
      <c r="C17" s="19" t="s">
        <v>237</v>
      </c>
      <c r="D17" s="19" t="s">
        <v>204</v>
      </c>
      <c r="E17" s="22" t="n">
        <f aca="false">INDEX(Households!$B$2:$B$17,MATCH(D17,Households!$A$2:$A$17,0))</f>
        <v>6</v>
      </c>
      <c r="F17" s="19" t="n">
        <v>6</v>
      </c>
      <c r="G17" s="23" t="n">
        <v>0.590277777777778</v>
      </c>
      <c r="H17" s="23" t="n">
        <v>0.631944444444444</v>
      </c>
      <c r="I17" s="22" t="n">
        <f aca="false">ROUND((H17-G17)*1440,0)</f>
        <v>60</v>
      </c>
      <c r="J17" s="19" t="s">
        <v>345</v>
      </c>
      <c r="K17" s="19" t="s">
        <v>96</v>
      </c>
      <c r="L17" s="19" t="s">
        <v>79</v>
      </c>
      <c r="M17" s="19" t="s">
        <v>330</v>
      </c>
      <c r="N17" s="19" t="s">
        <v>330</v>
      </c>
      <c r="O17" s="19" t="s">
        <v>331</v>
      </c>
      <c r="P17" s="19"/>
      <c r="Q17" s="19" t="s">
        <v>331</v>
      </c>
      <c r="R17" s="19"/>
      <c r="S17" s="19"/>
      <c r="T17" s="22" t="n">
        <f aca="false">ROUND(INDEX(Appliances!$C$2:$C$4,MATCH(K17,Appliances!$B$2:$B$4,0))*I17/60*Config!$B$10,2)</f>
        <v>0.6</v>
      </c>
      <c r="U17" s="22" t="n">
        <f aca="false">ROUND(I17/F17,1)</f>
        <v>10</v>
      </c>
      <c r="V17" s="22" t="str">
        <f aca="false">IF(F17&lt;=3,"1-3",IF(F17&lt;=5,"4-5",IF(F17&lt;=7,"6-7","8+")))</f>
        <v>6-7</v>
      </c>
    </row>
    <row r="18" customFormat="false" ht="15" hidden="false" customHeight="false" outlineLevel="0" collapsed="false">
      <c r="A18" s="19" t="s">
        <v>355</v>
      </c>
      <c r="B18" s="20" t="n">
        <v>46282</v>
      </c>
      <c r="C18" s="19" t="s">
        <v>240</v>
      </c>
      <c r="D18" s="19" t="s">
        <v>196</v>
      </c>
      <c r="E18" s="22" t="n">
        <f aca="false">INDEX(Households!$B$2:$B$17,MATCH(D18,Households!$A$2:$A$17,0))</f>
        <v>6</v>
      </c>
      <c r="F18" s="19" t="n">
        <v>6</v>
      </c>
      <c r="G18" s="23" t="n">
        <v>0.694444444444444</v>
      </c>
      <c r="H18" s="23" t="n">
        <v>0.739583333333333</v>
      </c>
      <c r="I18" s="22" t="n">
        <f aca="false">ROUND((H18-G18)*1440,0)</f>
        <v>65</v>
      </c>
      <c r="J18" s="19" t="s">
        <v>335</v>
      </c>
      <c r="K18" s="19" t="s">
        <v>96</v>
      </c>
      <c r="L18" s="19" t="s">
        <v>80</v>
      </c>
      <c r="M18" s="19" t="s">
        <v>330</v>
      </c>
      <c r="N18" s="19" t="s">
        <v>330</v>
      </c>
      <c r="O18" s="19" t="s">
        <v>331</v>
      </c>
      <c r="P18" s="19"/>
      <c r="Q18" s="19" t="s">
        <v>331</v>
      </c>
      <c r="R18" s="19"/>
      <c r="S18" s="19"/>
      <c r="T18" s="22" t="n">
        <f aca="false">ROUND(INDEX(Appliances!$C$2:$C$4,MATCH(K18,Appliances!$B$2:$B$4,0))*I18/60*Config!$B$10,2)</f>
        <v>0.65</v>
      </c>
      <c r="U18" s="22" t="n">
        <f aca="false">ROUND(I18/F18,1)</f>
        <v>10.8</v>
      </c>
      <c r="V18" s="22" t="str">
        <f aca="false">IF(F18&lt;=3,"1-3",IF(F18&lt;=5,"4-5",IF(F18&lt;=7,"6-7","8+")))</f>
        <v>6-7</v>
      </c>
    </row>
    <row r="19" customFormat="false" ht="15" hidden="false" customHeight="false" outlineLevel="0" collapsed="false">
      <c r="A19" s="19" t="s">
        <v>356</v>
      </c>
      <c r="B19" s="20" t="n">
        <v>46283</v>
      </c>
      <c r="C19" s="19" t="s">
        <v>241</v>
      </c>
      <c r="D19" s="19" t="s">
        <v>198</v>
      </c>
      <c r="E19" s="22" t="n">
        <f aca="false">INDEX(Households!$B$2:$B$17,MATCH(D19,Households!$A$2:$A$17,0))</f>
        <v>3</v>
      </c>
      <c r="F19" s="19" t="n">
        <v>3</v>
      </c>
      <c r="G19" s="23" t="n">
        <v>0.253472222222222</v>
      </c>
      <c r="H19" s="23" t="n">
        <v>0.333333333333333</v>
      </c>
      <c r="I19" s="22" t="n">
        <f aca="false">ROUND((H19-G19)*1440,0)</f>
        <v>115</v>
      </c>
      <c r="J19" s="19" t="s">
        <v>329</v>
      </c>
      <c r="K19" s="19" t="s">
        <v>96</v>
      </c>
      <c r="L19" s="19" t="s">
        <v>80</v>
      </c>
      <c r="M19" s="19" t="s">
        <v>330</v>
      </c>
      <c r="N19" s="19" t="s">
        <v>330</v>
      </c>
      <c r="O19" s="19" t="s">
        <v>331</v>
      </c>
      <c r="P19" s="19"/>
      <c r="Q19" s="19" t="s">
        <v>330</v>
      </c>
      <c r="R19" s="19" t="s">
        <v>160</v>
      </c>
      <c r="S19" s="19" t="s">
        <v>357</v>
      </c>
      <c r="T19" s="22" t="n">
        <f aca="false">ROUND(INDEX(Appliances!$C$2:$C$4,MATCH(K19,Appliances!$B$2:$B$4,0))*I19/60*Config!$B$10,2)</f>
        <v>1.15</v>
      </c>
      <c r="U19" s="22" t="n">
        <f aca="false">ROUND(I19/F19,1)</f>
        <v>38.3</v>
      </c>
      <c r="V19" s="22" t="str">
        <f aca="false">IF(F19&lt;=3,"1-3",IF(F19&lt;=5,"4-5",IF(F19&lt;=7,"6-7","8+")))</f>
        <v>1-3</v>
      </c>
    </row>
    <row r="20" customFormat="false" ht="15" hidden="false" customHeight="false" outlineLevel="0" collapsed="false">
      <c r="A20" s="19" t="s">
        <v>358</v>
      </c>
      <c r="B20" s="20" t="n">
        <v>46283</v>
      </c>
      <c r="C20" s="19" t="s">
        <v>242</v>
      </c>
      <c r="D20" s="19" t="s">
        <v>199</v>
      </c>
      <c r="E20" s="22" t="n">
        <f aca="false">INDEX(Households!$B$2:$B$17,MATCH(D20,Households!$A$2:$A$17,0))</f>
        <v>5</v>
      </c>
      <c r="F20" s="19" t="n">
        <v>5</v>
      </c>
      <c r="G20" s="23" t="n">
        <v>0.340277777777778</v>
      </c>
      <c r="H20" s="23" t="n">
        <v>0.392361111111111</v>
      </c>
      <c r="I20" s="22" t="n">
        <f aca="false">ROUND((H20-G20)*1440,0)</f>
        <v>75</v>
      </c>
      <c r="J20" s="19" t="s">
        <v>359</v>
      </c>
      <c r="K20" s="19" t="s">
        <v>95</v>
      </c>
      <c r="L20" s="19" t="s">
        <v>79</v>
      </c>
      <c r="M20" s="19" t="s">
        <v>330</v>
      </c>
      <c r="N20" s="19" t="s">
        <v>331</v>
      </c>
      <c r="O20" s="19" t="s">
        <v>331</v>
      </c>
      <c r="P20" s="19"/>
      <c r="Q20" s="19" t="s">
        <v>331</v>
      </c>
      <c r="R20" s="19"/>
      <c r="S20" s="19"/>
      <c r="T20" s="22" t="n">
        <f aca="false">ROUND(INDEX(Appliances!$C$2:$C$4,MATCH(K20,Appliances!$B$2:$B$4,0))*I20/60*Config!$B$10,2)</f>
        <v>1.5</v>
      </c>
      <c r="U20" s="22" t="n">
        <f aca="false">ROUND(I20/F20,1)</f>
        <v>15</v>
      </c>
      <c r="V20" s="22" t="str">
        <f aca="false">IF(F20&lt;=3,"1-3",IF(F20&lt;=5,"4-5",IF(F20&lt;=7,"6-7","8+")))</f>
        <v>4-5</v>
      </c>
    </row>
    <row r="21" customFormat="false" ht="15" hidden="false" customHeight="false" outlineLevel="0" collapsed="false">
      <c r="A21" s="19" t="s">
        <v>360</v>
      </c>
      <c r="B21" s="20" t="n">
        <v>46283</v>
      </c>
      <c r="C21" s="19" t="s">
        <v>243</v>
      </c>
      <c r="D21" s="19" t="s">
        <v>200</v>
      </c>
      <c r="E21" s="22" t="n">
        <f aca="false">INDEX(Households!$B$2:$B$17,MATCH(D21,Households!$A$2:$A$17,0))</f>
        <v>7</v>
      </c>
      <c r="F21" s="19" t="n">
        <v>7</v>
      </c>
      <c r="G21" s="23" t="n">
        <v>0.430555555555556</v>
      </c>
      <c r="H21" s="23" t="n">
        <v>0.465277777777778</v>
      </c>
      <c r="I21" s="22" t="n">
        <f aca="false">ROUND((H21-G21)*1440,0)</f>
        <v>50</v>
      </c>
      <c r="J21" s="19" t="s">
        <v>329</v>
      </c>
      <c r="K21" s="19" t="s">
        <v>96</v>
      </c>
      <c r="L21" s="19" t="s">
        <v>79</v>
      </c>
      <c r="M21" s="19" t="s">
        <v>330</v>
      </c>
      <c r="N21" s="19" t="s">
        <v>330</v>
      </c>
      <c r="O21" s="19" t="s">
        <v>330</v>
      </c>
      <c r="P21" s="19" t="s">
        <v>155</v>
      </c>
      <c r="Q21" s="19" t="s">
        <v>331</v>
      </c>
      <c r="R21" s="19"/>
      <c r="S21" s="19"/>
      <c r="T21" s="22" t="n">
        <f aca="false">ROUND(INDEX(Appliances!$C$2:$C$4,MATCH(K21,Appliances!$B$2:$B$4,0))*I21/60*Config!$B$10,2)</f>
        <v>0.5</v>
      </c>
      <c r="U21" s="22" t="n">
        <f aca="false">ROUND(I21/F21,1)</f>
        <v>7.1</v>
      </c>
      <c r="V21" s="22" t="str">
        <f aca="false">IF(F21&lt;=3,"1-3",IF(F21&lt;=5,"4-5",IF(F21&lt;=7,"6-7","8+")))</f>
        <v>6-7</v>
      </c>
    </row>
    <row r="22" customFormat="false" ht="15" hidden="false" customHeight="false" outlineLevel="0" collapsed="false">
      <c r="A22" s="19" t="s">
        <v>361</v>
      </c>
      <c r="B22" s="20" t="n">
        <v>46283</v>
      </c>
      <c r="C22" s="19" t="s">
        <v>244</v>
      </c>
      <c r="D22" s="19" t="s">
        <v>201</v>
      </c>
      <c r="E22" s="22" t="n">
        <f aca="false">INDEX(Households!$B$2:$B$17,MATCH(D22,Households!$A$2:$A$17,0))</f>
        <v>5</v>
      </c>
      <c r="F22" s="19" t="n">
        <v>4</v>
      </c>
      <c r="G22" s="23" t="n">
        <v>0.506944444444444</v>
      </c>
      <c r="H22" s="23" t="n">
        <v>0.552083333333333</v>
      </c>
      <c r="I22" s="22" t="n">
        <f aca="false">ROUND((H22-G22)*1440,0)</f>
        <v>65</v>
      </c>
      <c r="J22" s="19" t="s">
        <v>345</v>
      </c>
      <c r="K22" s="19" t="s">
        <v>96</v>
      </c>
      <c r="L22" s="19" t="s">
        <v>79</v>
      </c>
      <c r="M22" s="19" t="s">
        <v>330</v>
      </c>
      <c r="N22" s="19" t="s">
        <v>330</v>
      </c>
      <c r="O22" s="19" t="s">
        <v>331</v>
      </c>
      <c r="P22" s="19"/>
      <c r="Q22" s="19" t="s">
        <v>331</v>
      </c>
      <c r="R22" s="19"/>
      <c r="S22" s="19"/>
      <c r="T22" s="22" t="n">
        <f aca="false">ROUND(INDEX(Appliances!$C$2:$C$4,MATCH(K22,Appliances!$B$2:$B$4,0))*I22/60*Config!$B$10,2)</f>
        <v>0.65</v>
      </c>
      <c r="U22" s="22" t="n">
        <f aca="false">ROUND(I22/F22,1)</f>
        <v>16.3</v>
      </c>
      <c r="V22" s="22" t="str">
        <f aca="false">IF(F22&lt;=3,"1-3",IF(F22&lt;=5,"4-5",IF(F22&lt;=7,"6-7","8+")))</f>
        <v>4-5</v>
      </c>
    </row>
    <row r="23" customFormat="false" ht="15" hidden="false" customHeight="false" outlineLevel="0" collapsed="false">
      <c r="A23" s="19" t="s">
        <v>362</v>
      </c>
      <c r="B23" s="20" t="n">
        <v>46283</v>
      </c>
      <c r="C23" s="19" t="s">
        <v>245</v>
      </c>
      <c r="D23" s="19" t="s">
        <v>202</v>
      </c>
      <c r="E23" s="22" t="n">
        <f aca="false">INDEX(Households!$B$2:$B$17,MATCH(D23,Households!$A$2:$A$17,0))</f>
        <v>8</v>
      </c>
      <c r="F23" s="19" t="n">
        <v>8</v>
      </c>
      <c r="G23" s="23" t="n">
        <v>0.590277777777778</v>
      </c>
      <c r="H23" s="23" t="n">
        <v>0.649305555555556</v>
      </c>
      <c r="I23" s="22" t="n">
        <f aca="false">ROUND((H23-G23)*1440,0)</f>
        <v>85</v>
      </c>
      <c r="J23" s="19" t="s">
        <v>359</v>
      </c>
      <c r="K23" s="19" t="s">
        <v>95</v>
      </c>
      <c r="L23" s="19" t="s">
        <v>79</v>
      </c>
      <c r="M23" s="19" t="s">
        <v>330</v>
      </c>
      <c r="N23" s="19" t="s">
        <v>330</v>
      </c>
      <c r="O23" s="19" t="s">
        <v>330</v>
      </c>
      <c r="P23" s="19" t="s">
        <v>155</v>
      </c>
      <c r="Q23" s="19" t="s">
        <v>331</v>
      </c>
      <c r="R23" s="19"/>
      <c r="S23" s="19"/>
      <c r="T23" s="22" t="n">
        <f aca="false">ROUND(INDEX(Appliances!$C$2:$C$4,MATCH(K23,Appliances!$B$2:$B$4,0))*I23/60*Config!$B$10,2)</f>
        <v>1.7</v>
      </c>
      <c r="U23" s="22" t="n">
        <f aca="false">ROUND(I23/F23,1)</f>
        <v>10.6</v>
      </c>
      <c r="V23" s="22" t="str">
        <f aca="false">IF(F23&lt;=3,"1-3",IF(F23&lt;=5,"4-5",IF(F23&lt;=7,"6-7","8+")))</f>
        <v>8+</v>
      </c>
    </row>
    <row r="24" customFormat="false" ht="15" hidden="false" customHeight="false" outlineLevel="0" collapsed="false">
      <c r="A24" s="19" t="s">
        <v>363</v>
      </c>
      <c r="B24" s="20" t="n">
        <v>46283</v>
      </c>
      <c r="C24" s="19" t="s">
        <v>246</v>
      </c>
      <c r="D24" s="19" t="s">
        <v>203</v>
      </c>
      <c r="E24" s="22" t="n">
        <f aca="false">INDEX(Households!$B$2:$B$17,MATCH(D24,Households!$A$2:$A$17,0))</f>
        <v>4</v>
      </c>
      <c r="F24" s="19" t="n">
        <v>4</v>
      </c>
      <c r="G24" s="23" t="n">
        <v>0.690972222222222</v>
      </c>
      <c r="H24" s="23" t="n">
        <v>0.732638888888889</v>
      </c>
      <c r="I24" s="22" t="n">
        <f aca="false">ROUND((H24-G24)*1440,0)</f>
        <v>60</v>
      </c>
      <c r="J24" s="19" t="s">
        <v>350</v>
      </c>
      <c r="K24" s="19" t="s">
        <v>95</v>
      </c>
      <c r="L24" s="19" t="s">
        <v>80</v>
      </c>
      <c r="M24" s="19" t="s">
        <v>330</v>
      </c>
      <c r="N24" s="19" t="s">
        <v>330</v>
      </c>
      <c r="O24" s="19" t="s">
        <v>331</v>
      </c>
      <c r="P24" s="19"/>
      <c r="Q24" s="19" t="s">
        <v>331</v>
      </c>
      <c r="R24" s="19"/>
      <c r="S24" s="19"/>
      <c r="T24" s="22" t="n">
        <f aca="false">ROUND(INDEX(Appliances!$C$2:$C$4,MATCH(K24,Appliances!$B$2:$B$4,0))*I24/60*Config!$B$10,2)</f>
        <v>1.2</v>
      </c>
      <c r="U24" s="22" t="n">
        <f aca="false">ROUND(I24/F24,1)</f>
        <v>15</v>
      </c>
      <c r="V24" s="22" t="str">
        <f aca="false">IF(F24&lt;=3,"1-3",IF(F24&lt;=5,"4-5",IF(F24&lt;=7,"6-7","8+")))</f>
        <v>4-5</v>
      </c>
    </row>
    <row r="25" customFormat="false" ht="15" hidden="false" customHeight="false" outlineLevel="0" collapsed="false">
      <c r="A25" s="19" t="s">
        <v>364</v>
      </c>
      <c r="B25" s="20" t="n">
        <v>46284</v>
      </c>
      <c r="C25" s="19" t="s">
        <v>247</v>
      </c>
      <c r="D25" s="19" t="s">
        <v>204</v>
      </c>
      <c r="E25" s="22" t="n">
        <f aca="false">INDEX(Households!$B$2:$B$17,MATCH(D25,Households!$A$2:$A$17,0))</f>
        <v>6</v>
      </c>
      <c r="F25" s="19" t="n">
        <v>5</v>
      </c>
      <c r="G25" s="23" t="n">
        <v>0.267361111111111</v>
      </c>
      <c r="H25" s="23" t="n">
        <v>0.3125</v>
      </c>
      <c r="I25" s="22" t="n">
        <f aca="false">ROUND((H25-G25)*1440,0)</f>
        <v>65</v>
      </c>
      <c r="J25" s="19" t="s">
        <v>359</v>
      </c>
      <c r="K25" s="19" t="s">
        <v>95</v>
      </c>
      <c r="L25" s="19" t="s">
        <v>80</v>
      </c>
      <c r="M25" s="19" t="s">
        <v>330</v>
      </c>
      <c r="N25" s="19" t="s">
        <v>330</v>
      </c>
      <c r="O25" s="19" t="s">
        <v>330</v>
      </c>
      <c r="P25" s="19" t="s">
        <v>157</v>
      </c>
      <c r="Q25" s="19" t="s">
        <v>331</v>
      </c>
      <c r="R25" s="19"/>
      <c r="S25" s="19" t="s">
        <v>347</v>
      </c>
      <c r="T25" s="22" t="n">
        <f aca="false">ROUND(INDEX(Appliances!$C$2:$C$4,MATCH(K25,Appliances!$B$2:$B$4,0))*I25/60*Config!$B$10,2)</f>
        <v>1.3</v>
      </c>
      <c r="U25" s="22" t="n">
        <f aca="false">ROUND(I25/F25,1)</f>
        <v>13</v>
      </c>
      <c r="V25" s="22" t="str">
        <f aca="false">IF(F25&lt;=3,"1-3",IF(F25&lt;=5,"4-5",IF(F25&lt;=7,"6-7","8+")))</f>
        <v>4-5</v>
      </c>
    </row>
    <row r="26" customFormat="false" ht="15" hidden="false" customHeight="false" outlineLevel="0" collapsed="false">
      <c r="A26" s="19" t="s">
        <v>365</v>
      </c>
      <c r="B26" s="20" t="n">
        <v>46284</v>
      </c>
      <c r="C26" s="19" t="s">
        <v>248</v>
      </c>
      <c r="D26" s="19" t="s">
        <v>205</v>
      </c>
      <c r="E26" s="22" t="n">
        <f aca="false">INDEX(Households!$B$2:$B$17,MATCH(D26,Households!$A$2:$A$17,0))</f>
        <v>3</v>
      </c>
      <c r="F26" s="19" t="n">
        <v>3</v>
      </c>
      <c r="G26" s="23" t="n">
        <v>0.336805555555556</v>
      </c>
      <c r="H26" s="23" t="n">
        <v>0.357638888888889</v>
      </c>
      <c r="I26" s="22" t="n">
        <f aca="false">ROUND((H26-G26)*1440,0)</f>
        <v>30</v>
      </c>
      <c r="J26" s="19" t="s">
        <v>91</v>
      </c>
      <c r="K26" s="19" t="s">
        <v>96</v>
      </c>
      <c r="L26" s="19" t="s">
        <v>79</v>
      </c>
      <c r="M26" s="19" t="s">
        <v>330</v>
      </c>
      <c r="N26" s="19" t="s">
        <v>330</v>
      </c>
      <c r="O26" s="19" t="s">
        <v>331</v>
      </c>
      <c r="P26" s="19"/>
      <c r="Q26" s="19" t="s">
        <v>331</v>
      </c>
      <c r="R26" s="19"/>
      <c r="S26" s="19"/>
      <c r="T26" s="22" t="n">
        <f aca="false">ROUND(INDEX(Appliances!$C$2:$C$4,MATCH(K26,Appliances!$B$2:$B$4,0))*I26/60*Config!$B$10,2)</f>
        <v>0.3</v>
      </c>
      <c r="U26" s="22" t="n">
        <f aca="false">ROUND(I26/F26,1)</f>
        <v>10</v>
      </c>
      <c r="V26" s="22" t="str">
        <f aca="false">IF(F26&lt;=3,"1-3",IF(F26&lt;=5,"4-5",IF(F26&lt;=7,"6-7","8+")))</f>
        <v>1-3</v>
      </c>
    </row>
    <row r="27" customFormat="false" ht="15" hidden="false" customHeight="false" outlineLevel="0" collapsed="false">
      <c r="A27" s="19" t="s">
        <v>366</v>
      </c>
      <c r="B27" s="20" t="n">
        <v>46284</v>
      </c>
      <c r="C27" s="19" t="s">
        <v>249</v>
      </c>
      <c r="D27" s="19" t="s">
        <v>206</v>
      </c>
      <c r="E27" s="22" t="n">
        <f aca="false">INDEX(Households!$B$2:$B$17,MATCH(D27,Households!$A$2:$A$17,0))</f>
        <v>5</v>
      </c>
      <c r="F27" s="19" t="n">
        <v>5</v>
      </c>
      <c r="G27" s="23" t="n">
        <v>0.423611111111111</v>
      </c>
      <c r="H27" s="23" t="n">
        <v>0.482638888888889</v>
      </c>
      <c r="I27" s="22" t="n">
        <f aca="false">ROUND((H27-G27)*1440,0)</f>
        <v>85</v>
      </c>
      <c r="J27" s="19" t="s">
        <v>337</v>
      </c>
      <c r="K27" s="19" t="s">
        <v>96</v>
      </c>
      <c r="L27" s="19" t="s">
        <v>79</v>
      </c>
      <c r="M27" s="19" t="s">
        <v>330</v>
      </c>
      <c r="N27" s="19" t="s">
        <v>330</v>
      </c>
      <c r="O27" s="19" t="s">
        <v>331</v>
      </c>
      <c r="P27" s="19"/>
      <c r="Q27" s="19" t="s">
        <v>330</v>
      </c>
      <c r="R27" s="19" t="s">
        <v>159</v>
      </c>
      <c r="S27" s="19"/>
      <c r="T27" s="22" t="n">
        <f aca="false">ROUND(INDEX(Appliances!$C$2:$C$4,MATCH(K27,Appliances!$B$2:$B$4,0))*I27/60*Config!$B$10,2)</f>
        <v>0.85</v>
      </c>
      <c r="U27" s="22" t="n">
        <f aca="false">ROUND(I27/F27,1)</f>
        <v>17</v>
      </c>
      <c r="V27" s="22" t="str">
        <f aca="false">IF(F27&lt;=3,"1-3",IF(F27&lt;=5,"4-5",IF(F27&lt;=7,"6-7","8+")))</f>
        <v>4-5</v>
      </c>
    </row>
    <row r="28" customFormat="false" ht="15" hidden="false" customHeight="false" outlineLevel="0" collapsed="false">
      <c r="A28" s="19" t="s">
        <v>367</v>
      </c>
      <c r="B28" s="20" t="n">
        <v>46284</v>
      </c>
      <c r="C28" s="19" t="s">
        <v>250</v>
      </c>
      <c r="D28" s="19" t="s">
        <v>207</v>
      </c>
      <c r="E28" s="22" t="n">
        <f aca="false">INDEX(Households!$B$2:$B$17,MATCH(D28,Households!$A$2:$A$17,0))</f>
        <v>7</v>
      </c>
      <c r="F28" s="19" t="n">
        <v>7</v>
      </c>
      <c r="G28" s="23" t="n">
        <v>0.503472222222222</v>
      </c>
      <c r="H28" s="23" t="n">
        <v>0.541666666666667</v>
      </c>
      <c r="I28" s="22" t="n">
        <f aca="false">ROUND((H28-G28)*1440,0)</f>
        <v>55</v>
      </c>
      <c r="J28" s="19" t="s">
        <v>329</v>
      </c>
      <c r="K28" s="19" t="s">
        <v>96</v>
      </c>
      <c r="L28" s="19" t="s">
        <v>79</v>
      </c>
      <c r="M28" s="19" t="s">
        <v>330</v>
      </c>
      <c r="N28" s="19" t="s">
        <v>331</v>
      </c>
      <c r="O28" s="19" t="s">
        <v>331</v>
      </c>
      <c r="P28" s="19"/>
      <c r="Q28" s="19" t="s">
        <v>331</v>
      </c>
      <c r="R28" s="19"/>
      <c r="S28" s="19"/>
      <c r="T28" s="22" t="n">
        <f aca="false">ROUND(INDEX(Appliances!$C$2:$C$4,MATCH(K28,Appliances!$B$2:$B$4,0))*I28/60*Config!$B$10,2)</f>
        <v>0.55</v>
      </c>
      <c r="U28" s="22" t="n">
        <f aca="false">ROUND(I28/F28,1)</f>
        <v>7.9</v>
      </c>
      <c r="V28" s="22" t="str">
        <f aca="false">IF(F28&lt;=3,"1-3",IF(F28&lt;=5,"4-5",IF(F28&lt;=7,"6-7","8+")))</f>
        <v>6-7</v>
      </c>
    </row>
    <row r="29" customFormat="false" ht="15" hidden="false" customHeight="false" outlineLevel="0" collapsed="false">
      <c r="A29" s="19" t="s">
        <v>368</v>
      </c>
      <c r="B29" s="20" t="n">
        <v>46284</v>
      </c>
      <c r="C29" s="19" t="s">
        <v>251</v>
      </c>
      <c r="D29" s="19" t="s">
        <v>208</v>
      </c>
      <c r="E29" s="22" t="n">
        <f aca="false">INDEX(Households!$B$2:$B$17,MATCH(D29,Households!$A$2:$A$17,0))</f>
        <v>4</v>
      </c>
      <c r="F29" s="19" t="n">
        <v>4</v>
      </c>
      <c r="G29" s="23" t="n">
        <v>0.586805555555556</v>
      </c>
      <c r="H29" s="23" t="n">
        <v>0.618055555555556</v>
      </c>
      <c r="I29" s="22" t="n">
        <f aca="false">ROUND((H29-G29)*1440,0)</f>
        <v>45</v>
      </c>
      <c r="J29" s="19" t="s">
        <v>329</v>
      </c>
      <c r="K29" s="19" t="s">
        <v>96</v>
      </c>
      <c r="L29" s="19" t="s">
        <v>79</v>
      </c>
      <c r="M29" s="19" t="s">
        <v>330</v>
      </c>
      <c r="N29" s="19" t="s">
        <v>330</v>
      </c>
      <c r="O29" s="19" t="s">
        <v>331</v>
      </c>
      <c r="P29" s="19"/>
      <c r="Q29" s="19" t="s">
        <v>331</v>
      </c>
      <c r="R29" s="19"/>
      <c r="S29" s="19"/>
      <c r="T29" s="22" t="n">
        <f aca="false">ROUND(INDEX(Appliances!$C$2:$C$4,MATCH(K29,Appliances!$B$2:$B$4,0))*I29/60*Config!$B$10,2)</f>
        <v>0.45</v>
      </c>
      <c r="U29" s="22" t="n">
        <f aca="false">ROUND(I29/F29,1)</f>
        <v>11.3</v>
      </c>
      <c r="V29" s="22" t="str">
        <f aca="false">IF(F29&lt;=3,"1-3",IF(F29&lt;=5,"4-5",IF(F29&lt;=7,"6-7","8+")))</f>
        <v>4-5</v>
      </c>
    </row>
    <row r="30" customFormat="false" ht="15" hidden="false" customHeight="false" outlineLevel="0" collapsed="false">
      <c r="A30" s="19" t="s">
        <v>369</v>
      </c>
      <c r="B30" s="20" t="n">
        <v>46284</v>
      </c>
      <c r="C30" s="19" t="s">
        <v>252</v>
      </c>
      <c r="D30" s="19" t="s">
        <v>209</v>
      </c>
      <c r="E30" s="22" t="n">
        <f aca="false">INDEX(Households!$B$2:$B$17,MATCH(D30,Households!$A$2:$A$17,0))</f>
        <v>5</v>
      </c>
      <c r="F30" s="19" t="n">
        <v>5</v>
      </c>
      <c r="G30" s="23" t="n">
        <v>0.6875</v>
      </c>
      <c r="H30" s="23" t="n">
        <v>0.736111111111111</v>
      </c>
      <c r="I30" s="22" t="n">
        <f aca="false">ROUND((H30-G30)*1440,0)</f>
        <v>70</v>
      </c>
      <c r="J30" s="19" t="s">
        <v>345</v>
      </c>
      <c r="K30" s="19" t="s">
        <v>96</v>
      </c>
      <c r="L30" s="19" t="s">
        <v>80</v>
      </c>
      <c r="M30" s="19" t="s">
        <v>330</v>
      </c>
      <c r="N30" s="19" t="s">
        <v>330</v>
      </c>
      <c r="O30" s="19" t="s">
        <v>331</v>
      </c>
      <c r="P30" s="19"/>
      <c r="Q30" s="19" t="s">
        <v>331</v>
      </c>
      <c r="R30" s="19"/>
      <c r="S30" s="19"/>
      <c r="T30" s="22" t="n">
        <f aca="false">ROUND(INDEX(Appliances!$C$2:$C$4,MATCH(K30,Appliances!$B$2:$B$4,0))*I30/60*Config!$B$10,2)</f>
        <v>0.7</v>
      </c>
      <c r="U30" s="22" t="n">
        <f aca="false">ROUND(I30/F30,1)</f>
        <v>14</v>
      </c>
      <c r="V30" s="22" t="str">
        <f aca="false">IF(F30&lt;=3,"1-3",IF(F30&lt;=5,"4-5",IF(F30&lt;=7,"6-7","8+")))</f>
        <v>4-5</v>
      </c>
    </row>
    <row r="31" customFormat="false" ht="15" hidden="false" customHeight="false" outlineLevel="0" collapsed="false">
      <c r="A31" s="19" t="s">
        <v>370</v>
      </c>
      <c r="B31" s="20" t="n">
        <v>46285</v>
      </c>
      <c r="C31" s="19" t="s">
        <v>253</v>
      </c>
      <c r="D31" s="19" t="s">
        <v>210</v>
      </c>
      <c r="E31" s="22" t="n">
        <f aca="false">INDEX(Households!$B$2:$B$17,MATCH(D31,Households!$A$2:$A$17,0))</f>
        <v>6</v>
      </c>
      <c r="F31" s="19" t="n">
        <v>6</v>
      </c>
      <c r="G31" s="23" t="n">
        <v>0.253472222222222</v>
      </c>
      <c r="H31" s="23" t="n">
        <v>0.3125</v>
      </c>
      <c r="I31" s="22" t="n">
        <f aca="false">ROUND((H31-G31)*1440,0)</f>
        <v>85</v>
      </c>
      <c r="J31" s="19" t="s">
        <v>359</v>
      </c>
      <c r="K31" s="19" t="s">
        <v>95</v>
      </c>
      <c r="L31" s="19" t="s">
        <v>80</v>
      </c>
      <c r="M31" s="19" t="s">
        <v>330</v>
      </c>
      <c r="N31" s="19" t="s">
        <v>331</v>
      </c>
      <c r="O31" s="19" t="s">
        <v>331</v>
      </c>
      <c r="P31" s="19"/>
      <c r="Q31" s="19" t="s">
        <v>331</v>
      </c>
      <c r="R31" s="19"/>
      <c r="S31" s="19"/>
      <c r="T31" s="22" t="n">
        <f aca="false">ROUND(INDEX(Appliances!$C$2:$C$4,MATCH(K31,Appliances!$B$2:$B$4,0))*I31/60*Config!$B$10,2)</f>
        <v>1.7</v>
      </c>
      <c r="U31" s="22" t="n">
        <f aca="false">ROUND(I31/F31,1)</f>
        <v>14.2</v>
      </c>
      <c r="V31" s="22" t="str">
        <f aca="false">IF(F31&lt;=3,"1-3",IF(F31&lt;=5,"4-5",IF(F31&lt;=7,"6-7","8+")))</f>
        <v>6-7</v>
      </c>
    </row>
    <row r="32" customFormat="false" ht="15" hidden="false" customHeight="false" outlineLevel="0" collapsed="false">
      <c r="A32" s="19" t="s">
        <v>371</v>
      </c>
      <c r="B32" s="20" t="n">
        <v>46285</v>
      </c>
      <c r="C32" s="19" t="s">
        <v>254</v>
      </c>
      <c r="D32" s="19" t="s">
        <v>211</v>
      </c>
      <c r="E32" s="22" t="n">
        <f aca="false">INDEX(Households!$B$2:$B$17,MATCH(D32,Households!$A$2:$A$17,0))</f>
        <v>3</v>
      </c>
      <c r="F32" s="19" t="n">
        <v>3</v>
      </c>
      <c r="G32" s="23" t="n">
        <v>0.333333333333333</v>
      </c>
      <c r="H32" s="23" t="n">
        <v>0.375</v>
      </c>
      <c r="I32" s="22" t="n">
        <f aca="false">ROUND((H32-G32)*1440,0)</f>
        <v>60</v>
      </c>
      <c r="J32" s="19" t="s">
        <v>345</v>
      </c>
      <c r="K32" s="19" t="s">
        <v>96</v>
      </c>
      <c r="L32" s="19" t="s">
        <v>79</v>
      </c>
      <c r="M32" s="19" t="s">
        <v>330</v>
      </c>
      <c r="N32" s="19" t="s">
        <v>330</v>
      </c>
      <c r="O32" s="19" t="s">
        <v>331</v>
      </c>
      <c r="P32" s="19"/>
      <c r="Q32" s="19" t="s">
        <v>331</v>
      </c>
      <c r="R32" s="19"/>
      <c r="S32" s="19"/>
      <c r="T32" s="22" t="n">
        <f aca="false">ROUND(INDEX(Appliances!$C$2:$C$4,MATCH(K32,Appliances!$B$2:$B$4,0))*I32/60*Config!$B$10,2)</f>
        <v>0.6</v>
      </c>
      <c r="U32" s="22" t="n">
        <f aca="false">ROUND(I32/F32,1)</f>
        <v>20</v>
      </c>
      <c r="V32" s="22" t="str">
        <f aca="false">IF(F32&lt;=3,"1-3",IF(F32&lt;=5,"4-5",IF(F32&lt;=7,"6-7","8+")))</f>
        <v>1-3</v>
      </c>
    </row>
    <row r="33" customFormat="false" ht="15" hidden="false" customHeight="false" outlineLevel="0" collapsed="false">
      <c r="A33" s="19" t="s">
        <v>372</v>
      </c>
      <c r="B33" s="20" t="n">
        <v>46285</v>
      </c>
      <c r="C33" s="19" t="s">
        <v>255</v>
      </c>
      <c r="D33" s="19" t="s">
        <v>194</v>
      </c>
      <c r="E33" s="22" t="n">
        <f aca="false">INDEX(Households!$B$2:$B$17,MATCH(D33,Households!$A$2:$A$17,0))</f>
        <v>4</v>
      </c>
      <c r="F33" s="19" t="n">
        <v>3</v>
      </c>
      <c r="G33" s="23" t="n">
        <v>0.416666666666667</v>
      </c>
      <c r="H33" s="23" t="n">
        <v>0.454861111111111</v>
      </c>
      <c r="I33" s="22" t="n">
        <f aca="false">ROUND((H33-G33)*1440,0)</f>
        <v>55</v>
      </c>
      <c r="J33" s="19" t="s">
        <v>345</v>
      </c>
      <c r="K33" s="19" t="s">
        <v>96</v>
      </c>
      <c r="L33" s="19" t="s">
        <v>79</v>
      </c>
      <c r="M33" s="19" t="s">
        <v>330</v>
      </c>
      <c r="N33" s="19" t="s">
        <v>330</v>
      </c>
      <c r="O33" s="19" t="s">
        <v>331</v>
      </c>
      <c r="P33" s="19"/>
      <c r="Q33" s="19" t="s">
        <v>331</v>
      </c>
      <c r="R33" s="19"/>
      <c r="S33" s="19"/>
      <c r="T33" s="22" t="n">
        <f aca="false">ROUND(INDEX(Appliances!$C$2:$C$4,MATCH(K33,Appliances!$B$2:$B$4,0))*I33/60*Config!$B$10,2)</f>
        <v>0.55</v>
      </c>
      <c r="U33" s="22" t="n">
        <f aca="false">ROUND(I33/F33,1)</f>
        <v>18.3</v>
      </c>
      <c r="V33" s="22" t="str">
        <f aca="false">IF(F33&lt;=3,"1-3",IF(F33&lt;=5,"4-5",IF(F33&lt;=7,"6-7","8+")))</f>
        <v>1-3</v>
      </c>
    </row>
    <row r="34" customFormat="false" ht="15" hidden="false" customHeight="false" outlineLevel="0" collapsed="false">
      <c r="A34" s="19" t="s">
        <v>373</v>
      </c>
      <c r="B34" s="20" t="n">
        <v>46285</v>
      </c>
      <c r="C34" s="19" t="s">
        <v>256</v>
      </c>
      <c r="D34" s="19" t="s">
        <v>196</v>
      </c>
      <c r="E34" s="22" t="n">
        <f aca="false">INDEX(Households!$B$2:$B$17,MATCH(D34,Households!$A$2:$A$17,0))</f>
        <v>6</v>
      </c>
      <c r="F34" s="19" t="n">
        <v>6</v>
      </c>
      <c r="G34" s="23" t="n">
        <v>0.5</v>
      </c>
      <c r="H34" s="23" t="n">
        <v>0.538194444444444</v>
      </c>
      <c r="I34" s="22" t="n">
        <f aca="false">ROUND((H34-G34)*1440,0)</f>
        <v>55</v>
      </c>
      <c r="J34" s="19" t="s">
        <v>345</v>
      </c>
      <c r="K34" s="19" t="s">
        <v>96</v>
      </c>
      <c r="L34" s="19" t="s">
        <v>79</v>
      </c>
      <c r="M34" s="19" t="s">
        <v>330</v>
      </c>
      <c r="N34" s="19" t="s">
        <v>330</v>
      </c>
      <c r="O34" s="19" t="s">
        <v>331</v>
      </c>
      <c r="P34" s="19"/>
      <c r="Q34" s="19" t="s">
        <v>331</v>
      </c>
      <c r="R34" s="19"/>
      <c r="S34" s="19"/>
      <c r="T34" s="22" t="n">
        <f aca="false">ROUND(INDEX(Appliances!$C$2:$C$4,MATCH(K34,Appliances!$B$2:$B$4,0))*I34/60*Config!$B$10,2)</f>
        <v>0.55</v>
      </c>
      <c r="U34" s="22" t="n">
        <f aca="false">ROUND(I34/F34,1)</f>
        <v>9.2</v>
      </c>
      <c r="V34" s="22" t="str">
        <f aca="false">IF(F34&lt;=3,"1-3",IF(F34&lt;=5,"4-5",IF(F34&lt;=7,"6-7","8+")))</f>
        <v>6-7</v>
      </c>
    </row>
    <row r="35" customFormat="false" ht="15" hidden="false" customHeight="false" outlineLevel="0" collapsed="false">
      <c r="A35" s="19" t="s">
        <v>374</v>
      </c>
      <c r="B35" s="20" t="n">
        <v>46285</v>
      </c>
      <c r="C35" s="19" t="s">
        <v>257</v>
      </c>
      <c r="D35" s="19" t="s">
        <v>198</v>
      </c>
      <c r="E35" s="22" t="n">
        <f aca="false">INDEX(Households!$B$2:$B$17,MATCH(D35,Households!$A$2:$A$17,0))</f>
        <v>3</v>
      </c>
      <c r="F35" s="19" t="n">
        <v>3</v>
      </c>
      <c r="G35" s="23" t="n">
        <v>0.586805555555556</v>
      </c>
      <c r="H35" s="23" t="n">
        <v>0.625</v>
      </c>
      <c r="I35" s="22" t="n">
        <f aca="false">ROUND((H35-G35)*1440,0)</f>
        <v>55</v>
      </c>
      <c r="J35" s="19" t="s">
        <v>335</v>
      </c>
      <c r="K35" s="19" t="s">
        <v>96</v>
      </c>
      <c r="L35" s="19" t="s">
        <v>79</v>
      </c>
      <c r="M35" s="19" t="s">
        <v>330</v>
      </c>
      <c r="N35" s="19" t="s">
        <v>330</v>
      </c>
      <c r="O35" s="19" t="s">
        <v>331</v>
      </c>
      <c r="P35" s="19"/>
      <c r="Q35" s="19" t="s">
        <v>331</v>
      </c>
      <c r="R35" s="19"/>
      <c r="S35" s="19"/>
      <c r="T35" s="22" t="n">
        <f aca="false">ROUND(INDEX(Appliances!$C$2:$C$4,MATCH(K35,Appliances!$B$2:$B$4,0))*I35/60*Config!$B$10,2)</f>
        <v>0.55</v>
      </c>
      <c r="U35" s="22" t="n">
        <f aca="false">ROUND(I35/F35,1)</f>
        <v>18.3</v>
      </c>
      <c r="V35" s="22" t="str">
        <f aca="false">IF(F35&lt;=3,"1-3",IF(F35&lt;=5,"4-5",IF(F35&lt;=7,"6-7","8+")))</f>
        <v>1-3</v>
      </c>
    </row>
    <row r="36" customFormat="false" ht="15" hidden="false" customHeight="false" outlineLevel="0" collapsed="false">
      <c r="A36" s="19" t="s">
        <v>375</v>
      </c>
      <c r="B36" s="20" t="n">
        <v>46285</v>
      </c>
      <c r="C36" s="19" t="s">
        <v>258</v>
      </c>
      <c r="D36" s="19" t="s">
        <v>201</v>
      </c>
      <c r="E36" s="22" t="n">
        <f aca="false">INDEX(Households!$B$2:$B$17,MATCH(D36,Households!$A$2:$A$17,0))</f>
        <v>5</v>
      </c>
      <c r="F36" s="19" t="n">
        <v>5</v>
      </c>
      <c r="G36" s="23" t="n">
        <v>0.694444444444444</v>
      </c>
      <c r="H36" s="23" t="n">
        <v>0.736111111111111</v>
      </c>
      <c r="I36" s="22" t="n">
        <f aca="false">ROUND((H36-G36)*1440,0)</f>
        <v>60</v>
      </c>
      <c r="J36" s="19" t="s">
        <v>337</v>
      </c>
      <c r="K36" s="19" t="s">
        <v>96</v>
      </c>
      <c r="L36" s="19" t="s">
        <v>80</v>
      </c>
      <c r="M36" s="19" t="s">
        <v>330</v>
      </c>
      <c r="N36" s="19" t="s">
        <v>330</v>
      </c>
      <c r="O36" s="19" t="s">
        <v>331</v>
      </c>
      <c r="P36" s="19"/>
      <c r="Q36" s="19" t="s">
        <v>331</v>
      </c>
      <c r="R36" s="19"/>
      <c r="S36" s="19"/>
      <c r="T36" s="22" t="n">
        <f aca="false">ROUND(INDEX(Appliances!$C$2:$C$4,MATCH(K36,Appliances!$B$2:$B$4,0))*I36/60*Config!$B$10,2)</f>
        <v>0.6</v>
      </c>
      <c r="U36" s="22" t="n">
        <f aca="false">ROUND(I36/F36,1)</f>
        <v>12</v>
      </c>
      <c r="V36" s="22" t="str">
        <f aca="false">IF(F36&lt;=3,"1-3",IF(F36&lt;=5,"4-5",IF(F36&lt;=7,"6-7","8+")))</f>
        <v>4-5</v>
      </c>
    </row>
    <row r="37" customFormat="false" ht="15" hidden="false" customHeight="false" outlineLevel="0" collapsed="false">
      <c r="A37" s="19" t="s">
        <v>376</v>
      </c>
      <c r="B37" s="20" t="n">
        <v>46286</v>
      </c>
      <c r="C37" s="19" t="s">
        <v>260</v>
      </c>
      <c r="D37" s="19" t="s">
        <v>200</v>
      </c>
      <c r="E37" s="22" t="n">
        <f aca="false">INDEX(Households!$B$2:$B$17,MATCH(D37,Households!$A$2:$A$17,0))</f>
        <v>7</v>
      </c>
      <c r="F37" s="19" t="n">
        <v>7</v>
      </c>
      <c r="G37" s="23" t="n">
        <v>0.256944444444444</v>
      </c>
      <c r="H37" s="23" t="n">
        <v>0.3125</v>
      </c>
      <c r="I37" s="22" t="n">
        <f aca="false">ROUND((H37-G37)*1440,0)</f>
        <v>80</v>
      </c>
      <c r="J37" s="19" t="s">
        <v>359</v>
      </c>
      <c r="K37" s="19" t="s">
        <v>95</v>
      </c>
      <c r="L37" s="19" t="s">
        <v>80</v>
      </c>
      <c r="M37" s="19" t="s">
        <v>330</v>
      </c>
      <c r="N37" s="19" t="s">
        <v>330</v>
      </c>
      <c r="O37" s="19" t="s">
        <v>331</v>
      </c>
      <c r="P37" s="19"/>
      <c r="Q37" s="19" t="s">
        <v>331</v>
      </c>
      <c r="R37" s="19"/>
      <c r="S37" s="19"/>
      <c r="T37" s="22" t="n">
        <f aca="false">ROUND(INDEX(Appliances!$C$2:$C$4,MATCH(K37,Appliances!$B$2:$B$4,0))*I37/60*Config!$B$10,2)</f>
        <v>1.6</v>
      </c>
      <c r="U37" s="22" t="n">
        <f aca="false">ROUND(I37/F37,1)</f>
        <v>11.4</v>
      </c>
      <c r="V37" s="22" t="str">
        <f aca="false">IF(F37&lt;=3,"1-3",IF(F37&lt;=5,"4-5",IF(F37&lt;=7,"6-7","8+")))</f>
        <v>6-7</v>
      </c>
    </row>
    <row r="38" customFormat="false" ht="15" hidden="false" customHeight="false" outlineLevel="0" collapsed="false">
      <c r="A38" s="19" t="s">
        <v>377</v>
      </c>
      <c r="B38" s="20" t="n">
        <v>46286</v>
      </c>
      <c r="C38" s="19" t="s">
        <v>261</v>
      </c>
      <c r="D38" s="19" t="s">
        <v>201</v>
      </c>
      <c r="E38" s="22" t="n">
        <f aca="false">INDEX(Households!$B$2:$B$17,MATCH(D38,Households!$A$2:$A$17,0))</f>
        <v>5</v>
      </c>
      <c r="F38" s="19" t="n">
        <v>5</v>
      </c>
      <c r="G38" s="23" t="n">
        <v>0.340277777777778</v>
      </c>
      <c r="H38" s="23" t="n">
        <v>0.371527777777778</v>
      </c>
      <c r="I38" s="22" t="n">
        <f aca="false">ROUND((H38-G38)*1440,0)</f>
        <v>45</v>
      </c>
      <c r="J38" s="19" t="s">
        <v>85</v>
      </c>
      <c r="K38" s="19" t="s">
        <v>97</v>
      </c>
      <c r="L38" s="19" t="s">
        <v>79</v>
      </c>
      <c r="M38" s="19" t="s">
        <v>330</v>
      </c>
      <c r="N38" s="19" t="s">
        <v>330</v>
      </c>
      <c r="O38" s="19" t="s">
        <v>331</v>
      </c>
      <c r="P38" s="19"/>
      <c r="Q38" s="19" t="s">
        <v>331</v>
      </c>
      <c r="R38" s="19"/>
      <c r="S38" s="19"/>
      <c r="T38" s="22" t="n">
        <f aca="false">ROUND(INDEX(Appliances!$C$2:$C$4,MATCH(K38,Appliances!$B$2:$B$4,0))*I38/60*Config!$B$10,2)</f>
        <v>0.32</v>
      </c>
      <c r="U38" s="22" t="n">
        <f aca="false">ROUND(I38/F38,1)</f>
        <v>9</v>
      </c>
      <c r="V38" s="22" t="str">
        <f aca="false">IF(F38&lt;=3,"1-3",IF(F38&lt;=5,"4-5",IF(F38&lt;=7,"6-7","8+")))</f>
        <v>4-5</v>
      </c>
    </row>
    <row r="39" customFormat="false" ht="15" hidden="false" customHeight="false" outlineLevel="0" collapsed="false">
      <c r="A39" s="19" t="s">
        <v>378</v>
      </c>
      <c r="B39" s="20" t="n">
        <v>46286</v>
      </c>
      <c r="C39" s="19" t="s">
        <v>262</v>
      </c>
      <c r="D39" s="19" t="s">
        <v>202</v>
      </c>
      <c r="E39" s="22" t="n">
        <f aca="false">INDEX(Households!$B$2:$B$17,MATCH(D39,Households!$A$2:$A$17,0))</f>
        <v>8</v>
      </c>
      <c r="F39" s="19" t="n">
        <v>7</v>
      </c>
      <c r="G39" s="23" t="n">
        <v>0.423611111111111</v>
      </c>
      <c r="H39" s="23" t="n">
        <v>0.479166666666667</v>
      </c>
      <c r="I39" s="22" t="n">
        <f aca="false">ROUND((H39-G39)*1440,0)</f>
        <v>80</v>
      </c>
      <c r="J39" s="19" t="s">
        <v>350</v>
      </c>
      <c r="K39" s="19" t="s">
        <v>95</v>
      </c>
      <c r="L39" s="19" t="s">
        <v>79</v>
      </c>
      <c r="M39" s="19" t="s">
        <v>330</v>
      </c>
      <c r="N39" s="19" t="s">
        <v>330</v>
      </c>
      <c r="O39" s="19" t="s">
        <v>331</v>
      </c>
      <c r="P39" s="19"/>
      <c r="Q39" s="19" t="s">
        <v>330</v>
      </c>
      <c r="R39" s="19" t="s">
        <v>92</v>
      </c>
      <c r="S39" s="19"/>
      <c r="T39" s="22" t="n">
        <f aca="false">ROUND(INDEX(Appliances!$C$2:$C$4,MATCH(K39,Appliances!$B$2:$B$4,0))*I39/60*Config!$B$10,2)</f>
        <v>1.6</v>
      </c>
      <c r="U39" s="22" t="n">
        <f aca="false">ROUND(I39/F39,1)</f>
        <v>11.4</v>
      </c>
      <c r="V39" s="22" t="str">
        <f aca="false">IF(F39&lt;=3,"1-3",IF(F39&lt;=5,"4-5",IF(F39&lt;=7,"6-7","8+")))</f>
        <v>6-7</v>
      </c>
    </row>
    <row r="40" customFormat="false" ht="15" hidden="false" customHeight="false" outlineLevel="0" collapsed="false">
      <c r="A40" s="19" t="s">
        <v>379</v>
      </c>
      <c r="B40" s="20" t="n">
        <v>46286</v>
      </c>
      <c r="C40" s="19" t="s">
        <v>263</v>
      </c>
      <c r="D40" s="19" t="s">
        <v>203</v>
      </c>
      <c r="E40" s="22" t="n">
        <f aca="false">INDEX(Households!$B$2:$B$17,MATCH(D40,Households!$A$2:$A$17,0))</f>
        <v>4</v>
      </c>
      <c r="F40" s="19" t="n">
        <v>3</v>
      </c>
      <c r="G40" s="23" t="n">
        <v>0.503472222222222</v>
      </c>
      <c r="H40" s="23" t="n">
        <v>0.534722222222222</v>
      </c>
      <c r="I40" s="22" t="n">
        <f aca="false">ROUND((H40-G40)*1440,0)</f>
        <v>45</v>
      </c>
      <c r="J40" s="19" t="s">
        <v>329</v>
      </c>
      <c r="K40" s="19" t="s">
        <v>96</v>
      </c>
      <c r="L40" s="19" t="s">
        <v>79</v>
      </c>
      <c r="M40" s="19" t="s">
        <v>330</v>
      </c>
      <c r="N40" s="19" t="s">
        <v>330</v>
      </c>
      <c r="O40" s="19" t="s">
        <v>331</v>
      </c>
      <c r="P40" s="19"/>
      <c r="Q40" s="19" t="s">
        <v>331</v>
      </c>
      <c r="R40" s="19"/>
      <c r="S40" s="19"/>
      <c r="T40" s="22" t="n">
        <f aca="false">ROUND(INDEX(Appliances!$C$2:$C$4,MATCH(K40,Appliances!$B$2:$B$4,0))*I40/60*Config!$B$10,2)</f>
        <v>0.45</v>
      </c>
      <c r="U40" s="22" t="n">
        <f aca="false">ROUND(I40/F40,1)</f>
        <v>15</v>
      </c>
      <c r="V40" s="22" t="str">
        <f aca="false">IF(F40&lt;=3,"1-3",IF(F40&lt;=5,"4-5",IF(F40&lt;=7,"6-7","8+")))</f>
        <v>1-3</v>
      </c>
    </row>
    <row r="41" customFormat="false" ht="15" hidden="false" customHeight="false" outlineLevel="0" collapsed="false">
      <c r="A41" s="19" t="s">
        <v>380</v>
      </c>
      <c r="B41" s="20" t="n">
        <v>46286</v>
      </c>
      <c r="C41" s="19" t="s">
        <v>264</v>
      </c>
      <c r="D41" s="19" t="s">
        <v>204</v>
      </c>
      <c r="E41" s="22" t="n">
        <f aca="false">INDEX(Households!$B$2:$B$17,MATCH(D41,Households!$A$2:$A$17,0))</f>
        <v>6</v>
      </c>
      <c r="F41" s="19" t="n">
        <v>6</v>
      </c>
      <c r="G41" s="23" t="n">
        <v>0.586805555555556</v>
      </c>
      <c r="H41" s="23" t="n">
        <v>0.618055555555556</v>
      </c>
      <c r="I41" s="22" t="n">
        <f aca="false">ROUND((H41-G41)*1440,0)</f>
        <v>45</v>
      </c>
      <c r="J41" s="19" t="s">
        <v>329</v>
      </c>
      <c r="K41" s="19" t="s">
        <v>96</v>
      </c>
      <c r="L41" s="19" t="s">
        <v>81</v>
      </c>
      <c r="M41" s="19" t="s">
        <v>330</v>
      </c>
      <c r="N41" s="19" t="s">
        <v>330</v>
      </c>
      <c r="O41" s="19" t="s">
        <v>331</v>
      </c>
      <c r="P41" s="19"/>
      <c r="Q41" s="19" t="s">
        <v>331</v>
      </c>
      <c r="R41" s="19"/>
      <c r="S41" s="19"/>
      <c r="T41" s="22" t="n">
        <f aca="false">ROUND(INDEX(Appliances!$C$2:$C$4,MATCH(K41,Appliances!$B$2:$B$4,0))*I41/60*Config!$B$10,2)</f>
        <v>0.45</v>
      </c>
      <c r="U41" s="22" t="n">
        <f aca="false">ROUND(I41/F41,1)</f>
        <v>7.5</v>
      </c>
      <c r="V41" s="22" t="str">
        <f aca="false">IF(F41&lt;=3,"1-3",IF(F41&lt;=5,"4-5",IF(F41&lt;=7,"6-7","8+")))</f>
        <v>6-7</v>
      </c>
    </row>
    <row r="42" customFormat="false" ht="15" hidden="false" customHeight="false" outlineLevel="0" collapsed="false">
      <c r="A42" s="19" t="s">
        <v>381</v>
      </c>
      <c r="B42" s="20" t="n">
        <v>46286</v>
      </c>
      <c r="C42" s="19" t="s">
        <v>265</v>
      </c>
      <c r="D42" s="19" t="s">
        <v>205</v>
      </c>
      <c r="E42" s="22" t="n">
        <f aca="false">INDEX(Households!$B$2:$B$17,MATCH(D42,Households!$A$2:$A$17,0))</f>
        <v>3</v>
      </c>
      <c r="F42" s="19" t="n">
        <v>3</v>
      </c>
      <c r="G42" s="23" t="n">
        <v>0.6875</v>
      </c>
      <c r="H42" s="23" t="n">
        <v>0.71875</v>
      </c>
      <c r="I42" s="22" t="n">
        <f aca="false">ROUND((H42-G42)*1440,0)</f>
        <v>45</v>
      </c>
      <c r="J42" s="19" t="s">
        <v>350</v>
      </c>
      <c r="K42" s="19" t="s">
        <v>95</v>
      </c>
      <c r="L42" s="19" t="s">
        <v>81</v>
      </c>
      <c r="M42" s="19" t="s">
        <v>330</v>
      </c>
      <c r="N42" s="19" t="s">
        <v>330</v>
      </c>
      <c r="O42" s="19" t="s">
        <v>331</v>
      </c>
      <c r="P42" s="19"/>
      <c r="Q42" s="19" t="s">
        <v>331</v>
      </c>
      <c r="R42" s="19"/>
      <c r="S42" s="19"/>
      <c r="T42" s="22" t="n">
        <f aca="false">ROUND(INDEX(Appliances!$C$2:$C$4,MATCH(K42,Appliances!$B$2:$B$4,0))*I42/60*Config!$B$10,2)</f>
        <v>0.9</v>
      </c>
      <c r="U42" s="22" t="n">
        <f aca="false">ROUND(I42/F42,1)</f>
        <v>15</v>
      </c>
      <c r="V42" s="22" t="str">
        <f aca="false">IF(F42&lt;=3,"1-3",IF(F42&lt;=5,"4-5",IF(F42&lt;=7,"6-7","8+")))</f>
        <v>1-3</v>
      </c>
    </row>
    <row r="43" customFormat="false" ht="15" hidden="false" customHeight="false" outlineLevel="0" collapsed="false">
      <c r="A43" s="19" t="s">
        <v>382</v>
      </c>
      <c r="B43" s="20" t="n">
        <v>46287</v>
      </c>
      <c r="C43" s="19" t="s">
        <v>266</v>
      </c>
      <c r="D43" s="19" t="s">
        <v>206</v>
      </c>
      <c r="E43" s="22" t="n">
        <f aca="false">INDEX(Households!$B$2:$B$17,MATCH(D43,Households!$A$2:$A$17,0))</f>
        <v>5</v>
      </c>
      <c r="F43" s="19" t="n">
        <v>4</v>
      </c>
      <c r="G43" s="23" t="n">
        <v>0.253472222222222</v>
      </c>
      <c r="H43" s="23" t="n">
        <v>0.284722222222222</v>
      </c>
      <c r="I43" s="22" t="n">
        <f aca="false">ROUND((H43-G43)*1440,0)</f>
        <v>45</v>
      </c>
      <c r="J43" s="19" t="s">
        <v>329</v>
      </c>
      <c r="K43" s="19" t="s">
        <v>96</v>
      </c>
      <c r="L43" s="19" t="s">
        <v>80</v>
      </c>
      <c r="M43" s="19" t="s">
        <v>330</v>
      </c>
      <c r="N43" s="19" t="s">
        <v>330</v>
      </c>
      <c r="O43" s="19" t="s">
        <v>331</v>
      </c>
      <c r="P43" s="19"/>
      <c r="Q43" s="19" t="s">
        <v>331</v>
      </c>
      <c r="R43" s="19"/>
      <c r="S43" s="19"/>
      <c r="T43" s="22" t="n">
        <f aca="false">ROUND(INDEX(Appliances!$C$2:$C$4,MATCH(K43,Appliances!$B$2:$B$4,0))*I43/60*Config!$B$10,2)</f>
        <v>0.45</v>
      </c>
      <c r="U43" s="22" t="n">
        <f aca="false">ROUND(I43/F43,1)</f>
        <v>11.3</v>
      </c>
      <c r="V43" s="22" t="str">
        <f aca="false">IF(F43&lt;=3,"1-3",IF(F43&lt;=5,"4-5",IF(F43&lt;=7,"6-7","8+")))</f>
        <v>4-5</v>
      </c>
    </row>
    <row r="44" customFormat="false" ht="15" hidden="false" customHeight="false" outlineLevel="0" collapsed="false">
      <c r="A44" s="19" t="s">
        <v>383</v>
      </c>
      <c r="B44" s="20" t="n">
        <v>46287</v>
      </c>
      <c r="C44" s="19" t="s">
        <v>267</v>
      </c>
      <c r="D44" s="19" t="s">
        <v>207</v>
      </c>
      <c r="E44" s="22" t="n">
        <f aca="false">INDEX(Households!$B$2:$B$17,MATCH(D44,Households!$A$2:$A$17,0))</f>
        <v>7</v>
      </c>
      <c r="F44" s="19" t="n">
        <v>7</v>
      </c>
      <c r="G44" s="23" t="n">
        <v>0.340277777777778</v>
      </c>
      <c r="H44" s="23" t="n">
        <v>0.375</v>
      </c>
      <c r="I44" s="22" t="n">
        <f aca="false">ROUND((H44-G44)*1440,0)</f>
        <v>50</v>
      </c>
      <c r="J44" s="19" t="s">
        <v>329</v>
      </c>
      <c r="K44" s="19" t="s">
        <v>96</v>
      </c>
      <c r="L44" s="19" t="s">
        <v>79</v>
      </c>
      <c r="M44" s="19" t="s">
        <v>330</v>
      </c>
      <c r="N44" s="19" t="s">
        <v>330</v>
      </c>
      <c r="O44" s="19" t="s">
        <v>331</v>
      </c>
      <c r="P44" s="19"/>
      <c r="Q44" s="19" t="s">
        <v>331</v>
      </c>
      <c r="R44" s="19"/>
      <c r="S44" s="19"/>
      <c r="T44" s="22" t="n">
        <f aca="false">ROUND(INDEX(Appliances!$C$2:$C$4,MATCH(K44,Appliances!$B$2:$B$4,0))*I44/60*Config!$B$10,2)</f>
        <v>0.5</v>
      </c>
      <c r="U44" s="22" t="n">
        <f aca="false">ROUND(I44/F44,1)</f>
        <v>7.1</v>
      </c>
      <c r="V44" s="22" t="str">
        <f aca="false">IF(F44&lt;=3,"1-3",IF(F44&lt;=5,"4-5",IF(F44&lt;=7,"6-7","8+")))</f>
        <v>6-7</v>
      </c>
    </row>
    <row r="45" customFormat="false" ht="15" hidden="false" customHeight="false" outlineLevel="0" collapsed="false">
      <c r="A45" s="19" t="s">
        <v>384</v>
      </c>
      <c r="B45" s="20" t="n">
        <v>46287</v>
      </c>
      <c r="C45" s="19" t="s">
        <v>268</v>
      </c>
      <c r="D45" s="19" t="s">
        <v>208</v>
      </c>
      <c r="E45" s="22" t="n">
        <f aca="false">INDEX(Households!$B$2:$B$17,MATCH(D45,Households!$A$2:$A$17,0))</f>
        <v>4</v>
      </c>
      <c r="F45" s="19" t="n">
        <v>3</v>
      </c>
      <c r="G45" s="23" t="n">
        <v>0.423611111111111</v>
      </c>
      <c r="H45" s="23" t="n">
        <v>0.447916666666667</v>
      </c>
      <c r="I45" s="22" t="n">
        <f aca="false">ROUND((H45-G45)*1440,0)</f>
        <v>35</v>
      </c>
      <c r="J45" s="19" t="s">
        <v>91</v>
      </c>
      <c r="K45" s="19" t="s">
        <v>96</v>
      </c>
      <c r="L45" s="19" t="s">
        <v>79</v>
      </c>
      <c r="M45" s="19" t="s">
        <v>330</v>
      </c>
      <c r="N45" s="19" t="s">
        <v>330</v>
      </c>
      <c r="O45" s="19" t="s">
        <v>331</v>
      </c>
      <c r="P45" s="19"/>
      <c r="Q45" s="19" t="s">
        <v>331</v>
      </c>
      <c r="R45" s="19"/>
      <c r="S45" s="19"/>
      <c r="T45" s="22" t="n">
        <f aca="false">ROUND(INDEX(Appliances!$C$2:$C$4,MATCH(K45,Appliances!$B$2:$B$4,0))*I45/60*Config!$B$10,2)</f>
        <v>0.35</v>
      </c>
      <c r="U45" s="22" t="n">
        <f aca="false">ROUND(I45/F45,1)</f>
        <v>11.7</v>
      </c>
      <c r="V45" s="22" t="str">
        <f aca="false">IF(F45&lt;=3,"1-3",IF(F45&lt;=5,"4-5",IF(F45&lt;=7,"6-7","8+")))</f>
        <v>1-3</v>
      </c>
    </row>
    <row r="46" customFormat="false" ht="15" hidden="false" customHeight="false" outlineLevel="0" collapsed="false">
      <c r="A46" s="19" t="s">
        <v>385</v>
      </c>
      <c r="B46" s="20" t="n">
        <v>46287</v>
      </c>
      <c r="C46" s="19" t="s">
        <v>272</v>
      </c>
      <c r="D46" s="19" t="s">
        <v>210</v>
      </c>
      <c r="E46" s="22" t="n">
        <f aca="false">INDEX(Households!$B$2:$B$17,MATCH(D46,Households!$A$2:$A$17,0))</f>
        <v>6</v>
      </c>
      <c r="F46" s="19" t="n">
        <v>6</v>
      </c>
      <c r="G46" s="23" t="n">
        <v>0.586805555555556</v>
      </c>
      <c r="H46" s="23" t="n">
        <v>0.635416666666667</v>
      </c>
      <c r="I46" s="22" t="n">
        <f aca="false">ROUND((H46-G46)*1440,0)</f>
        <v>70</v>
      </c>
      <c r="J46" s="19" t="s">
        <v>359</v>
      </c>
      <c r="K46" s="19" t="s">
        <v>95</v>
      </c>
      <c r="L46" s="19" t="s">
        <v>81</v>
      </c>
      <c r="M46" s="19" t="s">
        <v>330</v>
      </c>
      <c r="N46" s="19" t="s">
        <v>331</v>
      </c>
      <c r="O46" s="19" t="s">
        <v>331</v>
      </c>
      <c r="P46" s="19"/>
      <c r="Q46" s="19" t="s">
        <v>331</v>
      </c>
      <c r="R46" s="19"/>
      <c r="S46" s="19"/>
      <c r="T46" s="22" t="n">
        <f aca="false">ROUND(INDEX(Appliances!$C$2:$C$4,MATCH(K46,Appliances!$B$2:$B$4,0))*I46/60*Config!$B$10,2)</f>
        <v>1.4</v>
      </c>
      <c r="U46" s="22" t="n">
        <f aca="false">ROUND(I46/F46,1)</f>
        <v>11.7</v>
      </c>
      <c r="V46" s="22" t="str">
        <f aca="false">IF(F46&lt;=3,"1-3",IF(F46&lt;=5,"4-5",IF(F46&lt;=7,"6-7","8+")))</f>
        <v>6-7</v>
      </c>
    </row>
    <row r="47" customFormat="false" ht="15" hidden="false" customHeight="false" outlineLevel="0" collapsed="false">
      <c r="A47" s="19" t="s">
        <v>386</v>
      </c>
      <c r="B47" s="20" t="n">
        <v>46287</v>
      </c>
      <c r="C47" s="19" t="s">
        <v>273</v>
      </c>
      <c r="D47" s="19" t="s">
        <v>211</v>
      </c>
      <c r="E47" s="22" t="n">
        <f aca="false">INDEX(Households!$B$2:$B$17,MATCH(D47,Households!$A$2:$A$17,0))</f>
        <v>3</v>
      </c>
      <c r="F47" s="19" t="n">
        <v>3</v>
      </c>
      <c r="G47" s="23" t="n">
        <v>0.6875</v>
      </c>
      <c r="H47" s="23" t="n">
        <v>0.725694444444444</v>
      </c>
      <c r="I47" s="22" t="n">
        <f aca="false">ROUND((H47-G47)*1440,0)</f>
        <v>55</v>
      </c>
      <c r="J47" s="19" t="s">
        <v>333</v>
      </c>
      <c r="K47" s="19" t="s">
        <v>95</v>
      </c>
      <c r="L47" s="19" t="s">
        <v>81</v>
      </c>
      <c r="M47" s="19" t="s">
        <v>330</v>
      </c>
      <c r="N47" s="19" t="s">
        <v>330</v>
      </c>
      <c r="O47" s="19" t="s">
        <v>331</v>
      </c>
      <c r="P47" s="19"/>
      <c r="Q47" s="19" t="s">
        <v>331</v>
      </c>
      <c r="R47" s="19"/>
      <c r="S47" s="19"/>
      <c r="T47" s="22" t="n">
        <f aca="false">ROUND(INDEX(Appliances!$C$2:$C$4,MATCH(K47,Appliances!$B$2:$B$4,0))*I47/60*Config!$B$10,2)</f>
        <v>1.1</v>
      </c>
      <c r="U47" s="22" t="n">
        <f aca="false">ROUND(I47/F47,1)</f>
        <v>18.3</v>
      </c>
      <c r="V47" s="22" t="str">
        <f aca="false">IF(F47&lt;=3,"1-3",IF(F47&lt;=5,"4-5",IF(F47&lt;=7,"6-7","8+")))</f>
        <v>1-3</v>
      </c>
    </row>
    <row r="48" customFormat="false" ht="15" hidden="false" customHeight="false" outlineLevel="0" collapsed="false">
      <c r="A48" s="19" t="s">
        <v>387</v>
      </c>
      <c r="B48" s="20" t="n">
        <v>46288</v>
      </c>
      <c r="C48" s="19" t="s">
        <v>274</v>
      </c>
      <c r="D48" s="19" t="s">
        <v>194</v>
      </c>
      <c r="E48" s="22" t="n">
        <f aca="false">INDEX(Households!$B$2:$B$17,MATCH(D48,Households!$A$2:$A$17,0))</f>
        <v>4</v>
      </c>
      <c r="F48" s="19" t="n">
        <v>4</v>
      </c>
      <c r="G48" s="23" t="n">
        <v>0.25</v>
      </c>
      <c r="H48" s="23" t="n">
        <v>0.302083333333333</v>
      </c>
      <c r="I48" s="22" t="n">
        <f aca="false">ROUND((H48-G48)*1440,0)</f>
        <v>75</v>
      </c>
      <c r="J48" s="19" t="s">
        <v>337</v>
      </c>
      <c r="K48" s="19" t="s">
        <v>96</v>
      </c>
      <c r="L48" s="19" t="s">
        <v>80</v>
      </c>
      <c r="M48" s="19" t="s">
        <v>330</v>
      </c>
      <c r="N48" s="19" t="s">
        <v>330</v>
      </c>
      <c r="O48" s="19" t="s">
        <v>331</v>
      </c>
      <c r="P48" s="19"/>
      <c r="Q48" s="19" t="s">
        <v>330</v>
      </c>
      <c r="R48" s="19" t="s">
        <v>161</v>
      </c>
      <c r="S48" s="19"/>
      <c r="T48" s="22" t="n">
        <f aca="false">ROUND(INDEX(Appliances!$C$2:$C$4,MATCH(K48,Appliances!$B$2:$B$4,0))*I48/60*Config!$B$10,2)</f>
        <v>0.75</v>
      </c>
      <c r="U48" s="22" t="n">
        <f aca="false">ROUND(I48/F48,1)</f>
        <v>18.8</v>
      </c>
      <c r="V48" s="22" t="str">
        <f aca="false">IF(F48&lt;=3,"1-3",IF(F48&lt;=5,"4-5",IF(F48&lt;=7,"6-7","8+")))</f>
        <v>4-5</v>
      </c>
    </row>
    <row r="49" customFormat="false" ht="15" hidden="false" customHeight="false" outlineLevel="0" collapsed="false">
      <c r="A49" s="19" t="s">
        <v>388</v>
      </c>
      <c r="B49" s="20" t="n">
        <v>46288</v>
      </c>
      <c r="C49" s="19" t="s">
        <v>276</v>
      </c>
      <c r="D49" s="19" t="s">
        <v>198</v>
      </c>
      <c r="E49" s="22" t="n">
        <f aca="false">INDEX(Households!$B$2:$B$17,MATCH(D49,Households!$A$2:$A$17,0))</f>
        <v>3</v>
      </c>
      <c r="F49" s="19" t="n">
        <v>3</v>
      </c>
      <c r="G49" s="23" t="n">
        <v>0.420138888888889</v>
      </c>
      <c r="H49" s="23" t="n">
        <v>0.458333333333333</v>
      </c>
      <c r="I49" s="22" t="n">
        <f aca="false">ROUND((H49-G49)*1440,0)</f>
        <v>55</v>
      </c>
      <c r="J49" s="19" t="s">
        <v>359</v>
      </c>
      <c r="K49" s="19" t="s">
        <v>95</v>
      </c>
      <c r="L49" s="19" t="s">
        <v>79</v>
      </c>
      <c r="M49" s="19" t="s">
        <v>330</v>
      </c>
      <c r="N49" s="19" t="s">
        <v>330</v>
      </c>
      <c r="O49" s="19" t="s">
        <v>331</v>
      </c>
      <c r="P49" s="19"/>
      <c r="Q49" s="19" t="s">
        <v>331</v>
      </c>
      <c r="R49" s="19"/>
      <c r="S49" s="19"/>
      <c r="T49" s="22" t="n">
        <f aca="false">ROUND(INDEX(Appliances!$C$2:$C$4,MATCH(K49,Appliances!$B$2:$B$4,0))*I49/60*Config!$B$10,2)</f>
        <v>1.1</v>
      </c>
      <c r="U49" s="22" t="n">
        <f aca="false">ROUND(I49/F49,1)</f>
        <v>18.3</v>
      </c>
      <c r="V49" s="22" t="str">
        <f aca="false">IF(F49&lt;=3,"1-3",IF(F49&lt;=5,"4-5",IF(F49&lt;=7,"6-7","8+")))</f>
        <v>1-3</v>
      </c>
    </row>
    <row r="50" customFormat="false" ht="15" hidden="false" customHeight="false" outlineLevel="0" collapsed="false">
      <c r="A50" s="19" t="s">
        <v>389</v>
      </c>
      <c r="B50" s="20" t="n">
        <v>46288</v>
      </c>
      <c r="C50" s="19" t="s">
        <v>277</v>
      </c>
      <c r="D50" s="19" t="s">
        <v>206</v>
      </c>
      <c r="E50" s="22" t="n">
        <f aca="false">INDEX(Households!$B$2:$B$17,MATCH(D50,Households!$A$2:$A$17,0))</f>
        <v>5</v>
      </c>
      <c r="F50" s="19" t="n">
        <v>5</v>
      </c>
      <c r="G50" s="23" t="n">
        <v>0.5</v>
      </c>
      <c r="H50" s="23" t="n">
        <v>0.538194444444444</v>
      </c>
      <c r="I50" s="22" t="n">
        <f aca="false">ROUND((H50-G50)*1440,0)</f>
        <v>55</v>
      </c>
      <c r="J50" s="19" t="s">
        <v>337</v>
      </c>
      <c r="K50" s="19" t="s">
        <v>96</v>
      </c>
      <c r="L50" s="19" t="s">
        <v>79</v>
      </c>
      <c r="M50" s="19" t="s">
        <v>330</v>
      </c>
      <c r="N50" s="19" t="s">
        <v>330</v>
      </c>
      <c r="O50" s="19" t="s">
        <v>331</v>
      </c>
      <c r="P50" s="19"/>
      <c r="Q50" s="19" t="s">
        <v>331</v>
      </c>
      <c r="R50" s="19"/>
      <c r="S50" s="19"/>
      <c r="T50" s="22" t="n">
        <f aca="false">ROUND(INDEX(Appliances!$C$2:$C$4,MATCH(K50,Appliances!$B$2:$B$4,0))*I50/60*Config!$B$10,2)</f>
        <v>0.55</v>
      </c>
      <c r="U50" s="22" t="n">
        <f aca="false">ROUND(I50/F50,1)</f>
        <v>11</v>
      </c>
      <c r="V50" s="22" t="str">
        <f aca="false">IF(F50&lt;=3,"1-3",IF(F50&lt;=5,"4-5",IF(F50&lt;=7,"6-7","8+")))</f>
        <v>4-5</v>
      </c>
    </row>
    <row r="51" customFormat="false" ht="15" hidden="false" customHeight="false" outlineLevel="0" collapsed="false">
      <c r="A51" s="19" t="s">
        <v>390</v>
      </c>
      <c r="B51" s="20" t="n">
        <v>46288</v>
      </c>
      <c r="C51" s="19" t="s">
        <v>278</v>
      </c>
      <c r="D51" s="19" t="s">
        <v>200</v>
      </c>
      <c r="E51" s="22" t="n">
        <f aca="false">INDEX(Households!$B$2:$B$17,MATCH(D51,Households!$A$2:$A$17,0))</f>
        <v>7</v>
      </c>
      <c r="F51" s="19" t="n">
        <v>6</v>
      </c>
      <c r="G51" s="23" t="n">
        <v>0.583333333333333</v>
      </c>
      <c r="H51" s="23" t="n">
        <v>0.631944444444444</v>
      </c>
      <c r="I51" s="22" t="n">
        <f aca="false">ROUND((H51-G51)*1440,0)</f>
        <v>70</v>
      </c>
      <c r="J51" s="19" t="s">
        <v>359</v>
      </c>
      <c r="K51" s="19" t="s">
        <v>95</v>
      </c>
      <c r="L51" s="19" t="s">
        <v>81</v>
      </c>
      <c r="M51" s="19" t="s">
        <v>330</v>
      </c>
      <c r="N51" s="19" t="s">
        <v>330</v>
      </c>
      <c r="O51" s="19" t="s">
        <v>331</v>
      </c>
      <c r="P51" s="19"/>
      <c r="Q51" s="19" t="s">
        <v>331</v>
      </c>
      <c r="R51" s="19"/>
      <c r="S51" s="19"/>
      <c r="T51" s="22" t="n">
        <f aca="false">ROUND(INDEX(Appliances!$C$2:$C$4,MATCH(K51,Appliances!$B$2:$B$4,0))*I51/60*Config!$B$10,2)</f>
        <v>1.4</v>
      </c>
      <c r="U51" s="22" t="n">
        <f aca="false">ROUND(I51/F51,1)</f>
        <v>11.7</v>
      </c>
      <c r="V51" s="22" t="str">
        <f aca="false">IF(F51&lt;=3,"1-3",IF(F51&lt;=5,"4-5",IF(F51&lt;=7,"6-7","8+")))</f>
        <v>6-7</v>
      </c>
    </row>
    <row r="52" customFormat="false" ht="15" hidden="false" customHeight="false" outlineLevel="0" collapsed="false">
      <c r="A52" s="19" t="s">
        <v>391</v>
      </c>
      <c r="B52" s="20" t="n">
        <v>46288</v>
      </c>
      <c r="C52" s="19" t="s">
        <v>279</v>
      </c>
      <c r="D52" s="19" t="s">
        <v>201</v>
      </c>
      <c r="E52" s="22" t="n">
        <f aca="false">INDEX(Households!$B$2:$B$17,MATCH(D52,Households!$A$2:$A$17,0))</f>
        <v>5</v>
      </c>
      <c r="F52" s="19" t="n">
        <v>5</v>
      </c>
      <c r="G52" s="23" t="n">
        <v>0.704861111111111</v>
      </c>
      <c r="H52" s="23" t="n">
        <v>0.756944444444444</v>
      </c>
      <c r="I52" s="22" t="n">
        <f aca="false">ROUND((H52-G52)*1440,0)</f>
        <v>75</v>
      </c>
      <c r="J52" s="19" t="s">
        <v>359</v>
      </c>
      <c r="K52" s="19" t="s">
        <v>95</v>
      </c>
      <c r="L52" s="19" t="s">
        <v>81</v>
      </c>
      <c r="M52" s="19" t="s">
        <v>330</v>
      </c>
      <c r="N52" s="19" t="s">
        <v>330</v>
      </c>
      <c r="O52" s="19" t="s">
        <v>330</v>
      </c>
      <c r="P52" s="19" t="s">
        <v>155</v>
      </c>
      <c r="Q52" s="19" t="s">
        <v>331</v>
      </c>
      <c r="R52" s="19"/>
      <c r="S52" s="19"/>
      <c r="T52" s="22" t="n">
        <f aca="false">ROUND(INDEX(Appliances!$C$2:$C$4,MATCH(K52,Appliances!$B$2:$B$4,0))*I52/60*Config!$B$10,2)</f>
        <v>1.5</v>
      </c>
      <c r="U52" s="22" t="n">
        <f aca="false">ROUND(I52/F52,1)</f>
        <v>15</v>
      </c>
      <c r="V52" s="22" t="str">
        <f aca="false">IF(F52&lt;=3,"1-3",IF(F52&lt;=5,"4-5",IF(F52&lt;=7,"6-7","8+")))</f>
        <v>4-5</v>
      </c>
    </row>
    <row r="53" customFormat="false" ht="15" hidden="false" customHeight="false" outlineLevel="0" collapsed="false">
      <c r="A53" s="19" t="s">
        <v>392</v>
      </c>
      <c r="B53" s="20" t="n">
        <v>46289</v>
      </c>
      <c r="C53" s="19" t="s">
        <v>280</v>
      </c>
      <c r="D53" s="19" t="s">
        <v>202</v>
      </c>
      <c r="E53" s="22" t="n">
        <f aca="false">INDEX(Households!$B$2:$B$17,MATCH(D53,Households!$A$2:$A$17,0))</f>
        <v>8</v>
      </c>
      <c r="F53" s="19" t="n">
        <v>7</v>
      </c>
      <c r="G53" s="23" t="n">
        <v>0.253472222222222</v>
      </c>
      <c r="H53" s="23" t="n">
        <v>0.298611111111111</v>
      </c>
      <c r="I53" s="22" t="n">
        <f aca="false">ROUND((H53-G53)*1440,0)</f>
        <v>65</v>
      </c>
      <c r="J53" s="19" t="s">
        <v>350</v>
      </c>
      <c r="K53" s="19" t="s">
        <v>95</v>
      </c>
      <c r="L53" s="19" t="s">
        <v>80</v>
      </c>
      <c r="M53" s="19" t="s">
        <v>330</v>
      </c>
      <c r="N53" s="19" t="s">
        <v>330</v>
      </c>
      <c r="O53" s="19" t="s">
        <v>331</v>
      </c>
      <c r="P53" s="19"/>
      <c r="Q53" s="19" t="s">
        <v>331</v>
      </c>
      <c r="R53" s="19"/>
      <c r="S53" s="19"/>
      <c r="T53" s="22" t="n">
        <f aca="false">ROUND(INDEX(Appliances!$C$2:$C$4,MATCH(K53,Appliances!$B$2:$B$4,0))*I53/60*Config!$B$10,2)</f>
        <v>1.3</v>
      </c>
      <c r="U53" s="22" t="n">
        <f aca="false">ROUND(I53/F53,1)</f>
        <v>9.3</v>
      </c>
      <c r="V53" s="22" t="str">
        <f aca="false">IF(F53&lt;=3,"1-3",IF(F53&lt;=5,"4-5",IF(F53&lt;=7,"6-7","8+")))</f>
        <v>6-7</v>
      </c>
    </row>
    <row r="54" customFormat="false" ht="15" hidden="false" customHeight="false" outlineLevel="0" collapsed="false">
      <c r="A54" s="19" t="s">
        <v>393</v>
      </c>
      <c r="B54" s="20" t="n">
        <v>46289</v>
      </c>
      <c r="C54" s="19" t="s">
        <v>281</v>
      </c>
      <c r="D54" s="19" t="s">
        <v>203</v>
      </c>
      <c r="E54" s="22" t="n">
        <f aca="false">INDEX(Households!$B$2:$B$17,MATCH(D54,Households!$A$2:$A$17,0))</f>
        <v>4</v>
      </c>
      <c r="F54" s="19" t="n">
        <v>4</v>
      </c>
      <c r="G54" s="23" t="n">
        <v>0.336805555555556</v>
      </c>
      <c r="H54" s="23" t="n">
        <v>0.378472222222222</v>
      </c>
      <c r="I54" s="22" t="n">
        <f aca="false">ROUND((H54-G54)*1440,0)</f>
        <v>60</v>
      </c>
      <c r="J54" s="19" t="s">
        <v>359</v>
      </c>
      <c r="K54" s="19" t="s">
        <v>95</v>
      </c>
      <c r="L54" s="19" t="s">
        <v>79</v>
      </c>
      <c r="M54" s="19" t="s">
        <v>330</v>
      </c>
      <c r="N54" s="19" t="s">
        <v>331</v>
      </c>
      <c r="O54" s="19" t="s">
        <v>331</v>
      </c>
      <c r="P54" s="19"/>
      <c r="Q54" s="19" t="s">
        <v>331</v>
      </c>
      <c r="R54" s="19"/>
      <c r="S54" s="19"/>
      <c r="T54" s="22" t="n">
        <f aca="false">ROUND(INDEX(Appliances!$C$2:$C$4,MATCH(K54,Appliances!$B$2:$B$4,0))*I54/60*Config!$B$10,2)</f>
        <v>1.2</v>
      </c>
      <c r="U54" s="22" t="n">
        <f aca="false">ROUND(I54/F54,1)</f>
        <v>15</v>
      </c>
      <c r="V54" s="22" t="str">
        <f aca="false">IF(F54&lt;=3,"1-3",IF(F54&lt;=5,"4-5",IF(F54&lt;=7,"6-7","8+")))</f>
        <v>4-5</v>
      </c>
    </row>
    <row r="55" customFormat="false" ht="15" hidden="false" customHeight="false" outlineLevel="0" collapsed="false">
      <c r="A55" s="19" t="s">
        <v>394</v>
      </c>
      <c r="B55" s="20" t="n">
        <v>46289</v>
      </c>
      <c r="C55" s="19" t="s">
        <v>282</v>
      </c>
      <c r="D55" s="19" t="s">
        <v>204</v>
      </c>
      <c r="E55" s="22" t="n">
        <f aca="false">INDEX(Households!$B$2:$B$17,MATCH(D55,Households!$A$2:$A$17,0))</f>
        <v>6</v>
      </c>
      <c r="F55" s="19" t="n">
        <v>6</v>
      </c>
      <c r="G55" s="23" t="n">
        <v>0.434027777777778</v>
      </c>
      <c r="H55" s="23" t="n">
        <v>0.46875</v>
      </c>
      <c r="I55" s="22" t="n">
        <f aca="false">ROUND((H55-G55)*1440,0)</f>
        <v>50</v>
      </c>
      <c r="J55" s="19" t="s">
        <v>329</v>
      </c>
      <c r="K55" s="19" t="s">
        <v>96</v>
      </c>
      <c r="L55" s="19" t="s">
        <v>79</v>
      </c>
      <c r="M55" s="19" t="s">
        <v>330</v>
      </c>
      <c r="N55" s="19" t="s">
        <v>330</v>
      </c>
      <c r="O55" s="19" t="s">
        <v>330</v>
      </c>
      <c r="P55" s="19" t="s">
        <v>157</v>
      </c>
      <c r="Q55" s="19" t="s">
        <v>331</v>
      </c>
      <c r="R55" s="19"/>
      <c r="S55" s="19" t="s">
        <v>347</v>
      </c>
      <c r="T55" s="22" t="n">
        <f aca="false">ROUND(INDEX(Appliances!$C$2:$C$4,MATCH(K55,Appliances!$B$2:$B$4,0))*I55/60*Config!$B$10,2)</f>
        <v>0.5</v>
      </c>
      <c r="U55" s="22" t="n">
        <f aca="false">ROUND(I55/F55,1)</f>
        <v>8.3</v>
      </c>
      <c r="V55" s="22" t="str">
        <f aca="false">IF(F55&lt;=3,"1-3",IF(F55&lt;=5,"4-5",IF(F55&lt;=7,"6-7","8+")))</f>
        <v>6-7</v>
      </c>
    </row>
    <row r="56" customFormat="false" ht="15" hidden="false" customHeight="false" outlineLevel="0" collapsed="false">
      <c r="A56" s="19" t="s">
        <v>395</v>
      </c>
      <c r="B56" s="20" t="n">
        <v>46289</v>
      </c>
      <c r="C56" s="19" t="s">
        <v>283</v>
      </c>
      <c r="D56" s="19" t="s">
        <v>205</v>
      </c>
      <c r="E56" s="22" t="n">
        <f aca="false">INDEX(Households!$B$2:$B$17,MATCH(D56,Households!$A$2:$A$17,0))</f>
        <v>3</v>
      </c>
      <c r="F56" s="19" t="n">
        <v>3</v>
      </c>
      <c r="G56" s="23" t="n">
        <v>0.5</v>
      </c>
      <c r="H56" s="23" t="n">
        <v>0.520833333333333</v>
      </c>
      <c r="I56" s="22" t="n">
        <f aca="false">ROUND((H56-G56)*1440,0)</f>
        <v>30</v>
      </c>
      <c r="J56" s="19" t="s">
        <v>91</v>
      </c>
      <c r="K56" s="19" t="s">
        <v>96</v>
      </c>
      <c r="L56" s="19" t="s">
        <v>79</v>
      </c>
      <c r="M56" s="19" t="s">
        <v>330</v>
      </c>
      <c r="N56" s="19" t="s">
        <v>330</v>
      </c>
      <c r="O56" s="19" t="s">
        <v>331</v>
      </c>
      <c r="P56" s="19"/>
      <c r="Q56" s="19" t="s">
        <v>331</v>
      </c>
      <c r="R56" s="19"/>
      <c r="S56" s="19"/>
      <c r="T56" s="22" t="n">
        <f aca="false">ROUND(INDEX(Appliances!$C$2:$C$4,MATCH(K56,Appliances!$B$2:$B$4,0))*I56/60*Config!$B$10,2)</f>
        <v>0.3</v>
      </c>
      <c r="U56" s="22" t="n">
        <f aca="false">ROUND(I56/F56,1)</f>
        <v>10</v>
      </c>
      <c r="V56" s="22" t="str">
        <f aca="false">IF(F56&lt;=3,"1-3",IF(F56&lt;=5,"4-5",IF(F56&lt;=7,"6-7","8+")))</f>
        <v>1-3</v>
      </c>
    </row>
    <row r="57" customFormat="false" ht="15" hidden="false" customHeight="false" outlineLevel="0" collapsed="false">
      <c r="A57" s="19" t="s">
        <v>396</v>
      </c>
      <c r="B57" s="20" t="n">
        <v>46289</v>
      </c>
      <c r="C57" s="19" t="s">
        <v>284</v>
      </c>
      <c r="D57" s="19" t="s">
        <v>206</v>
      </c>
      <c r="E57" s="22" t="n">
        <f aca="false">INDEX(Households!$B$2:$B$17,MATCH(D57,Households!$A$2:$A$17,0))</f>
        <v>5</v>
      </c>
      <c r="F57" s="19" t="n">
        <v>5</v>
      </c>
      <c r="G57" s="23" t="n">
        <v>0.586805555555556</v>
      </c>
      <c r="H57" s="23" t="n">
        <v>0.631944444444444</v>
      </c>
      <c r="I57" s="22" t="n">
        <f aca="false">ROUND((H57-G57)*1440,0)</f>
        <v>65</v>
      </c>
      <c r="J57" s="19" t="s">
        <v>359</v>
      </c>
      <c r="K57" s="19" t="s">
        <v>95</v>
      </c>
      <c r="L57" s="19" t="s">
        <v>79</v>
      </c>
      <c r="M57" s="19" t="s">
        <v>330</v>
      </c>
      <c r="N57" s="19" t="s">
        <v>330</v>
      </c>
      <c r="O57" s="19" t="s">
        <v>331</v>
      </c>
      <c r="P57" s="19"/>
      <c r="Q57" s="19" t="s">
        <v>331</v>
      </c>
      <c r="R57" s="19"/>
      <c r="S57" s="19"/>
      <c r="T57" s="22" t="n">
        <f aca="false">ROUND(INDEX(Appliances!$C$2:$C$4,MATCH(K57,Appliances!$B$2:$B$4,0))*I57/60*Config!$B$10,2)</f>
        <v>1.3</v>
      </c>
      <c r="U57" s="22" t="n">
        <f aca="false">ROUND(I57/F57,1)</f>
        <v>13</v>
      </c>
      <c r="V57" s="22" t="str">
        <f aca="false">IF(F57&lt;=3,"1-3",IF(F57&lt;=5,"4-5",IF(F57&lt;=7,"6-7","8+")))</f>
        <v>4-5</v>
      </c>
    </row>
    <row r="58" customFormat="false" ht="15" hidden="false" customHeight="false" outlineLevel="0" collapsed="false">
      <c r="A58" s="19" t="s">
        <v>397</v>
      </c>
      <c r="B58" s="20" t="n">
        <v>46289</v>
      </c>
      <c r="C58" s="19" t="s">
        <v>285</v>
      </c>
      <c r="D58" s="19" t="s">
        <v>207</v>
      </c>
      <c r="E58" s="22" t="n">
        <f aca="false">INDEX(Households!$B$2:$B$17,MATCH(D58,Households!$A$2:$A$17,0))</f>
        <v>7</v>
      </c>
      <c r="F58" s="19" t="n">
        <v>7</v>
      </c>
      <c r="G58" s="23" t="n">
        <v>0.690972222222222</v>
      </c>
      <c r="H58" s="23" t="n">
        <v>0.739583333333333</v>
      </c>
      <c r="I58" s="22" t="n">
        <f aca="false">ROUND((H58-G58)*1440,0)</f>
        <v>70</v>
      </c>
      <c r="J58" s="19" t="s">
        <v>350</v>
      </c>
      <c r="K58" s="19" t="s">
        <v>95</v>
      </c>
      <c r="L58" s="19" t="s">
        <v>80</v>
      </c>
      <c r="M58" s="19" t="s">
        <v>330</v>
      </c>
      <c r="N58" s="19" t="s">
        <v>330</v>
      </c>
      <c r="O58" s="19" t="s">
        <v>331</v>
      </c>
      <c r="P58" s="19"/>
      <c r="Q58" s="19" t="s">
        <v>331</v>
      </c>
      <c r="R58" s="19"/>
      <c r="S58" s="19"/>
      <c r="T58" s="22" t="n">
        <f aca="false">ROUND(INDEX(Appliances!$C$2:$C$4,MATCH(K58,Appliances!$B$2:$B$4,0))*I58/60*Config!$B$10,2)</f>
        <v>1.4</v>
      </c>
      <c r="U58" s="22" t="n">
        <f aca="false">ROUND(I58/F58,1)</f>
        <v>10</v>
      </c>
      <c r="V58" s="22" t="str">
        <f aca="false">IF(F58&lt;=3,"1-3",IF(F58&lt;=5,"4-5",IF(F58&lt;=7,"6-7","8+")))</f>
        <v>6-7</v>
      </c>
    </row>
    <row r="59" customFormat="false" ht="15" hidden="false" customHeight="false" outlineLevel="0" collapsed="false">
      <c r="A59" s="19" t="s">
        <v>398</v>
      </c>
      <c r="B59" s="20" t="n">
        <v>46290</v>
      </c>
      <c r="C59" s="19" t="s">
        <v>287</v>
      </c>
      <c r="D59" s="19" t="s">
        <v>209</v>
      </c>
      <c r="E59" s="22" t="n">
        <f aca="false">INDEX(Households!$B$2:$B$17,MATCH(D59,Households!$A$2:$A$17,0))</f>
        <v>5</v>
      </c>
      <c r="F59" s="19" t="n">
        <v>5</v>
      </c>
      <c r="G59" s="23" t="n">
        <v>0.333333333333333</v>
      </c>
      <c r="H59" s="23" t="n">
        <v>0.385416666666667</v>
      </c>
      <c r="I59" s="22" t="n">
        <f aca="false">ROUND((H59-G59)*1440,0)</f>
        <v>75</v>
      </c>
      <c r="J59" s="19" t="s">
        <v>85</v>
      </c>
      <c r="K59" s="19" t="s">
        <v>97</v>
      </c>
      <c r="L59" s="19" t="s">
        <v>79</v>
      </c>
      <c r="M59" s="19" t="s">
        <v>330</v>
      </c>
      <c r="N59" s="19" t="s">
        <v>330</v>
      </c>
      <c r="O59" s="19" t="s">
        <v>331</v>
      </c>
      <c r="P59" s="19"/>
      <c r="Q59" s="19" t="s">
        <v>330</v>
      </c>
      <c r="R59" s="19" t="s">
        <v>159</v>
      </c>
      <c r="S59" s="19"/>
      <c r="T59" s="22" t="n">
        <f aca="false">ROUND(INDEX(Appliances!$C$2:$C$4,MATCH(K59,Appliances!$B$2:$B$4,0))*I59/60*Config!$B$10,2)</f>
        <v>0.53</v>
      </c>
      <c r="U59" s="22" t="n">
        <f aca="false">ROUND(I59/F59,1)</f>
        <v>15</v>
      </c>
      <c r="V59" s="22" t="str">
        <f aca="false">IF(F59&lt;=3,"1-3",IF(F59&lt;=5,"4-5",IF(F59&lt;=7,"6-7","8+")))</f>
        <v>4-5</v>
      </c>
    </row>
    <row r="60" customFormat="false" ht="15" hidden="false" customHeight="false" outlineLevel="0" collapsed="false">
      <c r="A60" s="19" t="s">
        <v>399</v>
      </c>
      <c r="B60" s="20" t="n">
        <v>46290</v>
      </c>
      <c r="C60" s="19" t="s">
        <v>288</v>
      </c>
      <c r="D60" s="19" t="s">
        <v>210</v>
      </c>
      <c r="E60" s="22" t="n">
        <f aca="false">INDEX(Households!$B$2:$B$17,MATCH(D60,Households!$A$2:$A$17,0))</f>
        <v>6</v>
      </c>
      <c r="F60" s="19" t="n">
        <v>6</v>
      </c>
      <c r="G60" s="23" t="n">
        <v>0.416666666666667</v>
      </c>
      <c r="H60" s="23" t="n">
        <v>0.458333333333333</v>
      </c>
      <c r="I60" s="22" t="n">
        <f aca="false">ROUND((H60-G60)*1440,0)</f>
        <v>60</v>
      </c>
      <c r="J60" s="19" t="s">
        <v>345</v>
      </c>
      <c r="K60" s="19" t="s">
        <v>96</v>
      </c>
      <c r="L60" s="19" t="s">
        <v>79</v>
      </c>
      <c r="M60" s="19" t="s">
        <v>330</v>
      </c>
      <c r="N60" s="19" t="s">
        <v>330</v>
      </c>
      <c r="O60" s="19" t="s">
        <v>331</v>
      </c>
      <c r="P60" s="19"/>
      <c r="Q60" s="19" t="s">
        <v>331</v>
      </c>
      <c r="R60" s="19"/>
      <c r="S60" s="19"/>
      <c r="T60" s="22" t="n">
        <f aca="false">ROUND(INDEX(Appliances!$C$2:$C$4,MATCH(K60,Appliances!$B$2:$B$4,0))*I60/60*Config!$B$10,2)</f>
        <v>0.6</v>
      </c>
      <c r="U60" s="22" t="n">
        <f aca="false">ROUND(I60/F60,1)</f>
        <v>10</v>
      </c>
      <c r="V60" s="22" t="str">
        <f aca="false">IF(F60&lt;=3,"1-3",IF(F60&lt;=5,"4-5",IF(F60&lt;=7,"6-7","8+")))</f>
        <v>6-7</v>
      </c>
    </row>
    <row r="61" customFormat="false" ht="15" hidden="false" customHeight="false" outlineLevel="0" collapsed="false">
      <c r="A61" s="19" t="s">
        <v>400</v>
      </c>
      <c r="B61" s="20" t="n">
        <v>46290</v>
      </c>
      <c r="C61" s="19" t="s">
        <v>289</v>
      </c>
      <c r="D61" s="19" t="s">
        <v>211</v>
      </c>
      <c r="E61" s="22" t="n">
        <f aca="false">INDEX(Households!$B$2:$B$17,MATCH(D61,Households!$A$2:$A$17,0))</f>
        <v>3</v>
      </c>
      <c r="F61" s="19" t="n">
        <v>3</v>
      </c>
      <c r="G61" s="23" t="n">
        <v>0.503472222222222</v>
      </c>
      <c r="H61" s="23" t="n">
        <v>0.534722222222222</v>
      </c>
      <c r="I61" s="22" t="n">
        <f aca="false">ROUND((H61-G61)*1440,0)</f>
        <v>45</v>
      </c>
      <c r="J61" s="19" t="s">
        <v>329</v>
      </c>
      <c r="K61" s="19" t="s">
        <v>96</v>
      </c>
      <c r="L61" s="19" t="s">
        <v>79</v>
      </c>
      <c r="M61" s="19" t="s">
        <v>330</v>
      </c>
      <c r="N61" s="19" t="s">
        <v>330</v>
      </c>
      <c r="O61" s="19" t="s">
        <v>331</v>
      </c>
      <c r="P61" s="19"/>
      <c r="Q61" s="19" t="s">
        <v>331</v>
      </c>
      <c r="R61" s="19"/>
      <c r="S61" s="19"/>
      <c r="T61" s="22" t="n">
        <f aca="false">ROUND(INDEX(Appliances!$C$2:$C$4,MATCH(K61,Appliances!$B$2:$B$4,0))*I61/60*Config!$B$10,2)</f>
        <v>0.45</v>
      </c>
      <c r="U61" s="22" t="n">
        <f aca="false">ROUND(I61/F61,1)</f>
        <v>15</v>
      </c>
      <c r="V61" s="22" t="str">
        <f aca="false">IF(F61&lt;=3,"1-3",IF(F61&lt;=5,"4-5",IF(F61&lt;=7,"6-7","8+")))</f>
        <v>1-3</v>
      </c>
    </row>
    <row r="62" customFormat="false" ht="15" hidden="false" customHeight="false" outlineLevel="0" collapsed="false">
      <c r="A62" s="19" t="s">
        <v>401</v>
      </c>
      <c r="B62" s="20" t="n">
        <v>46290</v>
      </c>
      <c r="C62" s="19" t="s">
        <v>290</v>
      </c>
      <c r="D62" s="19" t="s">
        <v>194</v>
      </c>
      <c r="E62" s="22" t="n">
        <f aca="false">INDEX(Households!$B$2:$B$17,MATCH(D62,Households!$A$2:$A$17,0))</f>
        <v>4</v>
      </c>
      <c r="F62" s="19" t="n">
        <v>4</v>
      </c>
      <c r="G62" s="23" t="n">
        <v>0.586805555555556</v>
      </c>
      <c r="H62" s="23" t="n">
        <v>0.607638888888889</v>
      </c>
      <c r="I62" s="22" t="n">
        <f aca="false">ROUND((H62-G62)*1440,0)</f>
        <v>30</v>
      </c>
      <c r="J62" s="19" t="s">
        <v>91</v>
      </c>
      <c r="K62" s="19" t="s">
        <v>96</v>
      </c>
      <c r="L62" s="19" t="s">
        <v>79</v>
      </c>
      <c r="M62" s="19" t="s">
        <v>330</v>
      </c>
      <c r="N62" s="19" t="s">
        <v>330</v>
      </c>
      <c r="O62" s="19" t="s">
        <v>331</v>
      </c>
      <c r="P62" s="19"/>
      <c r="Q62" s="19" t="s">
        <v>331</v>
      </c>
      <c r="R62" s="19"/>
      <c r="S62" s="19"/>
      <c r="T62" s="22" t="n">
        <f aca="false">ROUND(INDEX(Appliances!$C$2:$C$4,MATCH(K62,Appliances!$B$2:$B$4,0))*I62/60*Config!$B$10,2)</f>
        <v>0.3</v>
      </c>
      <c r="U62" s="22" t="n">
        <f aca="false">ROUND(I62/F62,1)</f>
        <v>7.5</v>
      </c>
      <c r="V62" s="22" t="str">
        <f aca="false">IF(F62&lt;=3,"1-3",IF(F62&lt;=5,"4-5",IF(F62&lt;=7,"6-7","8+")))</f>
        <v>4-5</v>
      </c>
    </row>
    <row r="63" customFormat="false" ht="15" hidden="false" customHeight="false" outlineLevel="0" collapsed="false">
      <c r="A63" s="19" t="s">
        <v>402</v>
      </c>
      <c r="B63" s="20" t="n">
        <v>46290</v>
      </c>
      <c r="C63" s="19" t="s">
        <v>291</v>
      </c>
      <c r="D63" s="19" t="s">
        <v>196</v>
      </c>
      <c r="E63" s="22" t="n">
        <f aca="false">INDEX(Households!$B$2:$B$17,MATCH(D63,Households!$A$2:$A$17,0))</f>
        <v>6</v>
      </c>
      <c r="F63" s="19" t="n">
        <v>6</v>
      </c>
      <c r="G63" s="23" t="n">
        <v>0.6875</v>
      </c>
      <c r="H63" s="23" t="n">
        <v>0.722222222222222</v>
      </c>
      <c r="I63" s="22" t="n">
        <f aca="false">ROUND((H63-G63)*1440,0)</f>
        <v>50</v>
      </c>
      <c r="J63" s="19" t="s">
        <v>85</v>
      </c>
      <c r="K63" s="19" t="s">
        <v>97</v>
      </c>
      <c r="L63" s="19" t="s">
        <v>80</v>
      </c>
      <c r="M63" s="19" t="s">
        <v>330</v>
      </c>
      <c r="N63" s="19" t="s">
        <v>330</v>
      </c>
      <c r="O63" s="19" t="s">
        <v>331</v>
      </c>
      <c r="P63" s="19"/>
      <c r="Q63" s="19" t="s">
        <v>331</v>
      </c>
      <c r="R63" s="19"/>
      <c r="S63" s="19"/>
      <c r="T63" s="22" t="n">
        <f aca="false">ROUND(INDEX(Appliances!$C$2:$C$4,MATCH(K63,Appliances!$B$2:$B$4,0))*I63/60*Config!$B$10,2)</f>
        <v>0.35</v>
      </c>
      <c r="U63" s="22" t="n">
        <f aca="false">ROUND(I63/F63,1)</f>
        <v>8.3</v>
      </c>
      <c r="V63" s="22" t="str">
        <f aca="false">IF(F63&lt;=3,"1-3",IF(F63&lt;=5,"4-5",IF(F63&lt;=7,"6-7","8+")))</f>
        <v>6-7</v>
      </c>
    </row>
    <row r="64" customFormat="false" ht="15" hidden="false" customHeight="false" outlineLevel="0" collapsed="false">
      <c r="A64" s="19" t="s">
        <v>403</v>
      </c>
      <c r="B64" s="20" t="n">
        <v>46291</v>
      </c>
      <c r="C64" s="19" t="s">
        <v>292</v>
      </c>
      <c r="D64" s="19" t="s">
        <v>198</v>
      </c>
      <c r="E64" s="22" t="n">
        <f aca="false">INDEX(Households!$B$2:$B$17,MATCH(D64,Households!$A$2:$A$17,0))</f>
        <v>3</v>
      </c>
      <c r="F64" s="19" t="n">
        <v>3</v>
      </c>
      <c r="G64" s="23" t="n">
        <v>0.25</v>
      </c>
      <c r="H64" s="23" t="n">
        <v>0.277777777777778</v>
      </c>
      <c r="I64" s="22" t="n">
        <f aca="false">ROUND((H64-G64)*1440,0)</f>
        <v>40</v>
      </c>
      <c r="J64" s="19" t="s">
        <v>85</v>
      </c>
      <c r="K64" s="19" t="s">
        <v>97</v>
      </c>
      <c r="L64" s="19" t="s">
        <v>80</v>
      </c>
      <c r="M64" s="19" t="s">
        <v>330</v>
      </c>
      <c r="N64" s="19" t="s">
        <v>330</v>
      </c>
      <c r="O64" s="19" t="s">
        <v>331</v>
      </c>
      <c r="P64" s="19"/>
      <c r="Q64" s="19" t="s">
        <v>331</v>
      </c>
      <c r="R64" s="19"/>
      <c r="S64" s="19"/>
      <c r="T64" s="22" t="n">
        <f aca="false">ROUND(INDEX(Appliances!$C$2:$C$4,MATCH(K64,Appliances!$B$2:$B$4,0))*I64/60*Config!$B$10,2)</f>
        <v>0.28</v>
      </c>
      <c r="U64" s="22" t="n">
        <f aca="false">ROUND(I64/F64,1)</f>
        <v>13.3</v>
      </c>
      <c r="V64" s="22" t="str">
        <f aca="false">IF(F64&lt;=3,"1-3",IF(F64&lt;=5,"4-5",IF(F64&lt;=7,"6-7","8+")))</f>
        <v>1-3</v>
      </c>
    </row>
    <row r="65" customFormat="false" ht="15" hidden="false" customHeight="false" outlineLevel="0" collapsed="false">
      <c r="A65" s="19" t="s">
        <v>404</v>
      </c>
      <c r="B65" s="20" t="n">
        <v>46291</v>
      </c>
      <c r="C65" s="19" t="s">
        <v>293</v>
      </c>
      <c r="D65" s="19" t="s">
        <v>199</v>
      </c>
      <c r="E65" s="22" t="n">
        <f aca="false">INDEX(Households!$B$2:$B$17,MATCH(D65,Households!$A$2:$A$17,0))</f>
        <v>5</v>
      </c>
      <c r="F65" s="19" t="n">
        <v>5</v>
      </c>
      <c r="G65" s="23" t="n">
        <v>0.336805555555556</v>
      </c>
      <c r="H65" s="23" t="n">
        <v>0.361111111111111</v>
      </c>
      <c r="I65" s="22" t="n">
        <f aca="false">ROUND((H65-G65)*1440,0)</f>
        <v>35</v>
      </c>
      <c r="J65" s="19" t="s">
        <v>91</v>
      </c>
      <c r="K65" s="19" t="s">
        <v>96</v>
      </c>
      <c r="L65" s="19" t="s">
        <v>79</v>
      </c>
      <c r="M65" s="19" t="s">
        <v>330</v>
      </c>
      <c r="N65" s="19" t="s">
        <v>330</v>
      </c>
      <c r="O65" s="19" t="s">
        <v>331</v>
      </c>
      <c r="P65" s="19"/>
      <c r="Q65" s="19" t="s">
        <v>331</v>
      </c>
      <c r="R65" s="19"/>
      <c r="S65" s="19"/>
      <c r="T65" s="22" t="n">
        <f aca="false">ROUND(INDEX(Appliances!$C$2:$C$4,MATCH(K65,Appliances!$B$2:$B$4,0))*I65/60*Config!$B$10,2)</f>
        <v>0.35</v>
      </c>
      <c r="U65" s="22" t="n">
        <f aca="false">ROUND(I65/F65,1)</f>
        <v>7</v>
      </c>
      <c r="V65" s="22" t="str">
        <f aca="false">IF(F65&lt;=3,"1-3",IF(F65&lt;=5,"4-5",IF(F65&lt;=7,"6-7","8+")))</f>
        <v>4-5</v>
      </c>
    </row>
    <row r="66" customFormat="false" ht="15" hidden="false" customHeight="false" outlineLevel="0" collapsed="false">
      <c r="A66" s="19" t="s">
        <v>405</v>
      </c>
      <c r="B66" s="20" t="n">
        <v>46291</v>
      </c>
      <c r="C66" s="19" t="s">
        <v>294</v>
      </c>
      <c r="D66" s="19" t="s">
        <v>200</v>
      </c>
      <c r="E66" s="22" t="n">
        <f aca="false">INDEX(Households!$B$2:$B$17,MATCH(D66,Households!$A$2:$A$17,0))</f>
        <v>7</v>
      </c>
      <c r="F66" s="19" t="n">
        <v>7</v>
      </c>
      <c r="G66" s="23" t="n">
        <v>0.420138888888889</v>
      </c>
      <c r="H66" s="23" t="n">
        <v>0.465277777777778</v>
      </c>
      <c r="I66" s="22" t="n">
        <f aca="false">ROUND((H66-G66)*1440,0)</f>
        <v>65</v>
      </c>
      <c r="J66" s="19" t="s">
        <v>333</v>
      </c>
      <c r="K66" s="19" t="s">
        <v>95</v>
      </c>
      <c r="L66" s="19" t="s">
        <v>79</v>
      </c>
      <c r="M66" s="19" t="s">
        <v>330</v>
      </c>
      <c r="N66" s="19" t="s">
        <v>330</v>
      </c>
      <c r="O66" s="19" t="s">
        <v>331</v>
      </c>
      <c r="P66" s="19"/>
      <c r="Q66" s="19" t="s">
        <v>331</v>
      </c>
      <c r="R66" s="19"/>
      <c r="S66" s="19"/>
      <c r="T66" s="22" t="n">
        <f aca="false">ROUND(INDEX(Appliances!$C$2:$C$4,MATCH(K66,Appliances!$B$2:$B$4,0))*I66/60*Config!$B$10,2)</f>
        <v>1.3</v>
      </c>
      <c r="U66" s="22" t="n">
        <f aca="false">ROUND(I66/F66,1)</f>
        <v>9.3</v>
      </c>
      <c r="V66" s="22" t="str">
        <f aca="false">IF(F66&lt;=3,"1-3",IF(F66&lt;=5,"4-5",IF(F66&lt;=7,"6-7","8+")))</f>
        <v>6-7</v>
      </c>
    </row>
    <row r="67" customFormat="false" ht="15" hidden="false" customHeight="false" outlineLevel="0" collapsed="false">
      <c r="A67" s="19" t="s">
        <v>406</v>
      </c>
      <c r="B67" s="20" t="n">
        <v>46291</v>
      </c>
      <c r="C67" s="19" t="s">
        <v>295</v>
      </c>
      <c r="D67" s="19" t="s">
        <v>202</v>
      </c>
      <c r="E67" s="22" t="n">
        <f aca="false">INDEX(Households!$B$2:$B$17,MATCH(D67,Households!$A$2:$A$17,0))</f>
        <v>8</v>
      </c>
      <c r="F67" s="19" t="n">
        <v>8</v>
      </c>
      <c r="G67" s="23" t="n">
        <v>0.5</v>
      </c>
      <c r="H67" s="23" t="n">
        <v>0.53125</v>
      </c>
      <c r="I67" s="22" t="n">
        <f aca="false">ROUND((H67-G67)*1440,0)</f>
        <v>45</v>
      </c>
      <c r="J67" s="19" t="s">
        <v>91</v>
      </c>
      <c r="K67" s="19" t="s">
        <v>96</v>
      </c>
      <c r="L67" s="19" t="s">
        <v>79</v>
      </c>
      <c r="M67" s="19" t="s">
        <v>330</v>
      </c>
      <c r="N67" s="19" t="s">
        <v>330</v>
      </c>
      <c r="O67" s="19" t="s">
        <v>331</v>
      </c>
      <c r="P67" s="19"/>
      <c r="Q67" s="19" t="s">
        <v>331</v>
      </c>
      <c r="R67" s="19"/>
      <c r="S67" s="19"/>
      <c r="T67" s="22" t="n">
        <f aca="false">ROUND(INDEX(Appliances!$C$2:$C$4,MATCH(K67,Appliances!$B$2:$B$4,0))*I67/60*Config!$B$10,2)</f>
        <v>0.45</v>
      </c>
      <c r="U67" s="22" t="n">
        <f aca="false">ROUND(I67/F67,1)</f>
        <v>5.6</v>
      </c>
      <c r="V67" s="22" t="str">
        <f aca="false">IF(F67&lt;=3,"1-3",IF(F67&lt;=5,"4-5",IF(F67&lt;=7,"6-7","8+")))</f>
        <v>8+</v>
      </c>
    </row>
    <row r="68" customFormat="false" ht="15" hidden="false" customHeight="false" outlineLevel="0" collapsed="false">
      <c r="A68" s="19" t="s">
        <v>407</v>
      </c>
      <c r="B68" s="20" t="n">
        <v>46291</v>
      </c>
      <c r="C68" s="19" t="s">
        <v>297</v>
      </c>
      <c r="D68" s="19" t="s">
        <v>202</v>
      </c>
      <c r="E68" s="22" t="n">
        <f aca="false">INDEX(Households!$B$2:$B$17,MATCH(D68,Households!$A$2:$A$17,0))</f>
        <v>8</v>
      </c>
      <c r="F68" s="19" t="n">
        <v>8</v>
      </c>
      <c r="G68" s="23" t="n">
        <v>0.600694444444444</v>
      </c>
      <c r="H68" s="23" t="n">
        <v>0.642361111111111</v>
      </c>
      <c r="I68" s="22" t="n">
        <f aca="false">ROUND((H68-G68)*1440,0)</f>
        <v>60</v>
      </c>
      <c r="J68" s="19" t="s">
        <v>329</v>
      </c>
      <c r="K68" s="19" t="s">
        <v>96</v>
      </c>
      <c r="L68" s="19" t="s">
        <v>79</v>
      </c>
      <c r="M68" s="19" t="s">
        <v>330</v>
      </c>
      <c r="N68" s="19" t="s">
        <v>330</v>
      </c>
      <c r="O68" s="19" t="s">
        <v>330</v>
      </c>
      <c r="P68" s="19" t="s">
        <v>157</v>
      </c>
      <c r="Q68" s="19" t="s">
        <v>331</v>
      </c>
      <c r="R68" s="19"/>
      <c r="S68" s="19" t="s">
        <v>347</v>
      </c>
      <c r="T68" s="22" t="n">
        <f aca="false">ROUND(INDEX(Appliances!$C$2:$C$4,MATCH(K68,Appliances!$B$2:$B$4,0))*I68/60*Config!$B$10,2)</f>
        <v>0.6</v>
      </c>
      <c r="U68" s="22" t="n">
        <f aca="false">ROUND(I68/F68,1)</f>
        <v>7.5</v>
      </c>
      <c r="V68" s="22" t="str">
        <f aca="false">IF(F68&lt;=3,"1-3",IF(F68&lt;=5,"4-5",IF(F68&lt;=7,"6-7","8+")))</f>
        <v>8+</v>
      </c>
    </row>
    <row r="69" customFormat="false" ht="15" hidden="false" customHeight="false" outlineLevel="0" collapsed="false">
      <c r="A69" s="19" t="s">
        <v>408</v>
      </c>
      <c r="B69" s="20" t="n">
        <v>46291</v>
      </c>
      <c r="C69" s="19" t="s">
        <v>298</v>
      </c>
      <c r="D69" s="19" t="s">
        <v>203</v>
      </c>
      <c r="E69" s="22" t="n">
        <f aca="false">INDEX(Households!$B$2:$B$17,MATCH(D69,Households!$A$2:$A$17,0))</f>
        <v>4</v>
      </c>
      <c r="F69" s="19" t="n">
        <v>4</v>
      </c>
      <c r="G69" s="23" t="n">
        <v>0.690972222222222</v>
      </c>
      <c r="H69" s="23" t="n">
        <v>0.725694444444444</v>
      </c>
      <c r="I69" s="22" t="n">
        <f aca="false">ROUND((H69-G69)*1440,0)</f>
        <v>50</v>
      </c>
      <c r="J69" s="19" t="s">
        <v>337</v>
      </c>
      <c r="K69" s="19" t="s">
        <v>96</v>
      </c>
      <c r="L69" s="19" t="s">
        <v>80</v>
      </c>
      <c r="M69" s="19" t="s">
        <v>330</v>
      </c>
      <c r="N69" s="19" t="s">
        <v>330</v>
      </c>
      <c r="O69" s="19" t="s">
        <v>331</v>
      </c>
      <c r="P69" s="19"/>
      <c r="Q69" s="19" t="s">
        <v>331</v>
      </c>
      <c r="R69" s="19"/>
      <c r="S69" s="19"/>
      <c r="T69" s="22" t="n">
        <f aca="false">ROUND(INDEX(Appliances!$C$2:$C$4,MATCH(K69,Appliances!$B$2:$B$4,0))*I69/60*Config!$B$10,2)</f>
        <v>0.5</v>
      </c>
      <c r="U69" s="22" t="n">
        <f aca="false">ROUND(I69/F69,1)</f>
        <v>12.5</v>
      </c>
      <c r="V69" s="22" t="str">
        <f aca="false">IF(F69&lt;=3,"1-3",IF(F69&lt;=5,"4-5",IF(F69&lt;=7,"6-7","8+")))</f>
        <v>4-5</v>
      </c>
    </row>
    <row r="70" customFormat="false" ht="15" hidden="false" customHeight="false" outlineLevel="0" collapsed="false">
      <c r="A70" s="19" t="s">
        <v>409</v>
      </c>
      <c r="B70" s="20" t="n">
        <v>46292</v>
      </c>
      <c r="C70" s="19" t="s">
        <v>299</v>
      </c>
      <c r="D70" s="19" t="s">
        <v>204</v>
      </c>
      <c r="E70" s="22" t="n">
        <f aca="false">INDEX(Households!$B$2:$B$17,MATCH(D70,Households!$A$2:$A$17,0))</f>
        <v>6</v>
      </c>
      <c r="F70" s="19" t="n">
        <v>6</v>
      </c>
      <c r="G70" s="23" t="n">
        <v>0.253472222222222</v>
      </c>
      <c r="H70" s="23" t="n">
        <v>0.336805555555556</v>
      </c>
      <c r="I70" s="22" t="n">
        <f aca="false">ROUND((H70-G70)*1440,0)</f>
        <v>120</v>
      </c>
      <c r="J70" s="19" t="s">
        <v>333</v>
      </c>
      <c r="K70" s="19" t="s">
        <v>95</v>
      </c>
      <c r="L70" s="19" t="s">
        <v>80</v>
      </c>
      <c r="M70" s="19" t="s">
        <v>331</v>
      </c>
      <c r="N70" s="19" t="s">
        <v>330</v>
      </c>
      <c r="O70" s="19" t="s">
        <v>331</v>
      </c>
      <c r="P70" s="19"/>
      <c r="Q70" s="19" t="s">
        <v>330</v>
      </c>
      <c r="R70" s="19" t="s">
        <v>160</v>
      </c>
      <c r="S70" s="19"/>
      <c r="T70" s="22" t="n">
        <f aca="false">ROUND(INDEX(Appliances!$C$2:$C$4,MATCH(K70,Appliances!$B$2:$B$4,0))*I70/60*Config!$B$10,2)</f>
        <v>2.4</v>
      </c>
      <c r="U70" s="22" t="n">
        <f aca="false">ROUND(I70/F70,1)</f>
        <v>20</v>
      </c>
      <c r="V70" s="22" t="str">
        <f aca="false">IF(F70&lt;=3,"1-3",IF(F70&lt;=5,"4-5",IF(F70&lt;=7,"6-7","8+")))</f>
        <v>6-7</v>
      </c>
    </row>
    <row r="71" customFormat="false" ht="15" hidden="false" customHeight="false" outlineLevel="0" collapsed="false">
      <c r="A71" s="19" t="s">
        <v>410</v>
      </c>
      <c r="B71" s="20" t="n">
        <v>46292</v>
      </c>
      <c r="C71" s="19" t="s">
        <v>300</v>
      </c>
      <c r="D71" s="19" t="s">
        <v>194</v>
      </c>
      <c r="E71" s="22" t="n">
        <f aca="false">INDEX(Households!$B$2:$B$17,MATCH(D71,Households!$A$2:$A$17,0))</f>
        <v>4</v>
      </c>
      <c r="F71" s="19" t="n">
        <v>3</v>
      </c>
      <c r="G71" s="23" t="n">
        <v>0.340277777777778</v>
      </c>
      <c r="H71" s="23" t="n">
        <v>0.381944444444444</v>
      </c>
      <c r="I71" s="22" t="n">
        <f aca="false">ROUND((H71-G71)*1440,0)</f>
        <v>60</v>
      </c>
      <c r="J71" s="19" t="s">
        <v>345</v>
      </c>
      <c r="K71" s="19" t="s">
        <v>96</v>
      </c>
      <c r="L71" s="19" t="s">
        <v>79</v>
      </c>
      <c r="M71" s="19" t="s">
        <v>330</v>
      </c>
      <c r="N71" s="19" t="s">
        <v>330</v>
      </c>
      <c r="O71" s="19" t="s">
        <v>331</v>
      </c>
      <c r="P71" s="19"/>
      <c r="Q71" s="19" t="s">
        <v>331</v>
      </c>
      <c r="R71" s="19"/>
      <c r="S71" s="19"/>
      <c r="T71" s="22" t="n">
        <f aca="false">ROUND(INDEX(Appliances!$C$2:$C$4,MATCH(K71,Appliances!$B$2:$B$4,0))*I71/60*Config!$B$10,2)</f>
        <v>0.6</v>
      </c>
      <c r="U71" s="22" t="n">
        <f aca="false">ROUND(I71/F71,1)</f>
        <v>20</v>
      </c>
      <c r="V71" s="22" t="str">
        <f aca="false">IF(F71&lt;=3,"1-3",IF(F71&lt;=5,"4-5",IF(F71&lt;=7,"6-7","8+")))</f>
        <v>1-3</v>
      </c>
    </row>
    <row r="72" customFormat="false" ht="15" hidden="false" customHeight="false" outlineLevel="0" collapsed="false">
      <c r="A72" s="19" t="s">
        <v>411</v>
      </c>
      <c r="B72" s="20" t="n">
        <v>46292</v>
      </c>
      <c r="C72" s="19" t="s">
        <v>302</v>
      </c>
      <c r="D72" s="19" t="s">
        <v>206</v>
      </c>
      <c r="E72" s="22" t="n">
        <f aca="false">INDEX(Households!$B$2:$B$17,MATCH(D72,Households!$A$2:$A$17,0))</f>
        <v>5</v>
      </c>
      <c r="F72" s="19" t="n">
        <v>5</v>
      </c>
      <c r="G72" s="23" t="n">
        <v>0.416666666666667</v>
      </c>
      <c r="H72" s="23" t="n">
        <v>0.458333333333333</v>
      </c>
      <c r="I72" s="22" t="n">
        <f aca="false">ROUND((H72-G72)*1440,0)</f>
        <v>60</v>
      </c>
      <c r="J72" s="19" t="s">
        <v>337</v>
      </c>
      <c r="K72" s="19" t="s">
        <v>96</v>
      </c>
      <c r="L72" s="19" t="s">
        <v>79</v>
      </c>
      <c r="M72" s="19" t="s">
        <v>330</v>
      </c>
      <c r="N72" s="19" t="s">
        <v>330</v>
      </c>
      <c r="O72" s="19" t="s">
        <v>331</v>
      </c>
      <c r="P72" s="19"/>
      <c r="Q72" s="19" t="s">
        <v>331</v>
      </c>
      <c r="R72" s="19"/>
      <c r="S72" s="19"/>
      <c r="T72" s="22" t="n">
        <f aca="false">ROUND(INDEX(Appliances!$C$2:$C$4,MATCH(K72,Appliances!$B$2:$B$4,0))*I72/60*Config!$B$10,2)</f>
        <v>0.6</v>
      </c>
      <c r="U72" s="22" t="n">
        <f aca="false">ROUND(I72/F72,1)</f>
        <v>12</v>
      </c>
      <c r="V72" s="22" t="str">
        <f aca="false">IF(F72&lt;=3,"1-3",IF(F72&lt;=5,"4-5",IF(F72&lt;=7,"6-7","8+")))</f>
        <v>4-5</v>
      </c>
    </row>
    <row r="73" customFormat="false" ht="15" hidden="false" customHeight="false" outlineLevel="0" collapsed="false">
      <c r="A73" s="19" t="s">
        <v>412</v>
      </c>
      <c r="B73" s="20" t="n">
        <v>46292</v>
      </c>
      <c r="C73" s="19" t="s">
        <v>303</v>
      </c>
      <c r="D73" s="19" t="s">
        <v>209</v>
      </c>
      <c r="E73" s="22" t="n">
        <f aca="false">INDEX(Households!$B$2:$B$17,MATCH(D73,Households!$A$2:$A$17,0))</f>
        <v>5</v>
      </c>
      <c r="F73" s="19" t="n">
        <v>4</v>
      </c>
      <c r="G73" s="23" t="n">
        <v>0.503472222222222</v>
      </c>
      <c r="H73" s="23" t="n">
        <v>0.545138888888889</v>
      </c>
      <c r="I73" s="22" t="n">
        <f aca="false">ROUND((H73-G73)*1440,0)</f>
        <v>60</v>
      </c>
      <c r="J73" s="19" t="s">
        <v>335</v>
      </c>
      <c r="K73" s="19" t="s">
        <v>96</v>
      </c>
      <c r="L73" s="19" t="s">
        <v>79</v>
      </c>
      <c r="M73" s="19" t="s">
        <v>330</v>
      </c>
      <c r="N73" s="19" t="s">
        <v>330</v>
      </c>
      <c r="O73" s="19" t="s">
        <v>331</v>
      </c>
      <c r="P73" s="19"/>
      <c r="Q73" s="19" t="s">
        <v>331</v>
      </c>
      <c r="R73" s="19"/>
      <c r="S73" s="19"/>
      <c r="T73" s="22" t="n">
        <f aca="false">ROUND(INDEX(Appliances!$C$2:$C$4,MATCH(K73,Appliances!$B$2:$B$4,0))*I73/60*Config!$B$10,2)</f>
        <v>0.6</v>
      </c>
      <c r="U73" s="22" t="n">
        <f aca="false">ROUND(I73/F73,1)</f>
        <v>15</v>
      </c>
      <c r="V73" s="22" t="str">
        <f aca="false">IF(F73&lt;=3,"1-3",IF(F73&lt;=5,"4-5",IF(F73&lt;=7,"6-7","8+")))</f>
        <v>4-5</v>
      </c>
    </row>
    <row r="74" customFormat="false" ht="15" hidden="false" customHeight="false" outlineLevel="0" collapsed="false">
      <c r="A74" s="19" t="s">
        <v>413</v>
      </c>
      <c r="B74" s="20" t="n">
        <v>46292</v>
      </c>
      <c r="C74" s="19" t="s">
        <v>305</v>
      </c>
      <c r="D74" s="19" t="s">
        <v>208</v>
      </c>
      <c r="E74" s="22" t="n">
        <f aca="false">INDEX(Households!$B$2:$B$17,MATCH(D74,Households!$A$2:$A$17,0))</f>
        <v>4</v>
      </c>
      <c r="F74" s="19" t="n">
        <v>4</v>
      </c>
      <c r="G74" s="23" t="n">
        <v>0.583333333333333</v>
      </c>
      <c r="H74" s="23" t="n">
        <v>0.618055555555556</v>
      </c>
      <c r="I74" s="22" t="n">
        <f aca="false">ROUND((H74-G74)*1440,0)</f>
        <v>50</v>
      </c>
      <c r="J74" s="19" t="s">
        <v>337</v>
      </c>
      <c r="K74" s="19" t="s">
        <v>96</v>
      </c>
      <c r="L74" s="19" t="s">
        <v>79</v>
      </c>
      <c r="M74" s="19" t="s">
        <v>330</v>
      </c>
      <c r="N74" s="19" t="s">
        <v>330</v>
      </c>
      <c r="O74" s="19" t="s">
        <v>331</v>
      </c>
      <c r="P74" s="19"/>
      <c r="Q74" s="19" t="s">
        <v>331</v>
      </c>
      <c r="R74" s="19"/>
      <c r="S74" s="19"/>
      <c r="T74" s="22" t="n">
        <f aca="false">ROUND(INDEX(Appliances!$C$2:$C$4,MATCH(K74,Appliances!$B$2:$B$4,0))*I74/60*Config!$B$10,2)</f>
        <v>0.5</v>
      </c>
      <c r="U74" s="22" t="n">
        <f aca="false">ROUND(I74/F74,1)</f>
        <v>12.5</v>
      </c>
      <c r="V74" s="22" t="str">
        <f aca="false">IF(F74&lt;=3,"1-3",IF(F74&lt;=5,"4-5",IF(F74&lt;=7,"6-7","8+")))</f>
        <v>4-5</v>
      </c>
    </row>
    <row r="75" customFormat="false" ht="15" hidden="false" customHeight="false" outlineLevel="0" collapsed="false">
      <c r="A75" s="19" t="s">
        <v>414</v>
      </c>
      <c r="B75" s="20" t="n">
        <v>46293</v>
      </c>
      <c r="C75" s="19" t="s">
        <v>307</v>
      </c>
      <c r="D75" s="19" t="s">
        <v>210</v>
      </c>
      <c r="E75" s="22" t="n">
        <f aca="false">INDEX(Households!$B$2:$B$17,MATCH(D75,Households!$A$2:$A$17,0))</f>
        <v>6</v>
      </c>
      <c r="F75" s="19" t="n">
        <v>6</v>
      </c>
      <c r="G75" s="23" t="n">
        <v>0.256944444444444</v>
      </c>
      <c r="H75" s="23" t="n">
        <v>0.305555555555556</v>
      </c>
      <c r="I75" s="22" t="n">
        <f aca="false">ROUND((H75-G75)*1440,0)</f>
        <v>70</v>
      </c>
      <c r="J75" s="19" t="s">
        <v>333</v>
      </c>
      <c r="K75" s="19" t="s">
        <v>95</v>
      </c>
      <c r="L75" s="19" t="s">
        <v>80</v>
      </c>
      <c r="M75" s="19" t="s">
        <v>330</v>
      </c>
      <c r="N75" s="19" t="s">
        <v>330</v>
      </c>
      <c r="O75" s="19" t="s">
        <v>330</v>
      </c>
      <c r="P75" s="19" t="s">
        <v>156</v>
      </c>
      <c r="Q75" s="19" t="s">
        <v>331</v>
      </c>
      <c r="R75" s="19"/>
      <c r="S75" s="19"/>
      <c r="T75" s="22" t="n">
        <f aca="false">ROUND(INDEX(Appliances!$C$2:$C$4,MATCH(K75,Appliances!$B$2:$B$4,0))*I75/60*Config!$B$10,2)</f>
        <v>1.4</v>
      </c>
      <c r="U75" s="22" t="n">
        <f aca="false">ROUND(I75/F75,1)</f>
        <v>11.7</v>
      </c>
      <c r="V75" s="22" t="str">
        <f aca="false">IF(F75&lt;=3,"1-3",IF(F75&lt;=5,"4-5",IF(F75&lt;=7,"6-7","8+")))</f>
        <v>6-7</v>
      </c>
    </row>
    <row r="76" customFormat="false" ht="15" hidden="false" customHeight="false" outlineLevel="0" collapsed="false">
      <c r="A76" s="19" t="s">
        <v>415</v>
      </c>
      <c r="B76" s="20" t="n">
        <v>46293</v>
      </c>
      <c r="C76" s="19" t="s">
        <v>308</v>
      </c>
      <c r="D76" s="19" t="s">
        <v>211</v>
      </c>
      <c r="E76" s="22" t="n">
        <f aca="false">INDEX(Households!$B$2:$B$17,MATCH(D76,Households!$A$2:$A$17,0))</f>
        <v>3</v>
      </c>
      <c r="F76" s="19" t="n">
        <v>3</v>
      </c>
      <c r="G76" s="23" t="n">
        <v>0.336805555555556</v>
      </c>
      <c r="H76" s="23" t="n">
        <v>0.381944444444444</v>
      </c>
      <c r="I76" s="22" t="n">
        <f aca="false">ROUND((H76-G76)*1440,0)</f>
        <v>65</v>
      </c>
      <c r="J76" s="19" t="s">
        <v>345</v>
      </c>
      <c r="K76" s="19" t="s">
        <v>96</v>
      </c>
      <c r="L76" s="19" t="s">
        <v>79</v>
      </c>
      <c r="M76" s="19" t="s">
        <v>330</v>
      </c>
      <c r="N76" s="19" t="s">
        <v>330</v>
      </c>
      <c r="O76" s="19" t="s">
        <v>331</v>
      </c>
      <c r="P76" s="19"/>
      <c r="Q76" s="19" t="s">
        <v>330</v>
      </c>
      <c r="R76" s="19" t="s">
        <v>161</v>
      </c>
      <c r="S76" s="19"/>
      <c r="T76" s="22" t="n">
        <f aca="false">ROUND(INDEX(Appliances!$C$2:$C$4,MATCH(K76,Appliances!$B$2:$B$4,0))*I76/60*Config!$B$10,2)</f>
        <v>0.65</v>
      </c>
      <c r="U76" s="22" t="n">
        <f aca="false">ROUND(I76/F76,1)</f>
        <v>21.7</v>
      </c>
      <c r="V76" s="22" t="str">
        <f aca="false">IF(F76&lt;=3,"1-3",IF(F76&lt;=5,"4-5",IF(F76&lt;=7,"6-7","8+")))</f>
        <v>1-3</v>
      </c>
    </row>
    <row r="77" customFormat="false" ht="15" hidden="false" customHeight="false" outlineLevel="0" collapsed="false">
      <c r="A77" s="19" t="s">
        <v>416</v>
      </c>
      <c r="B77" s="20" t="n">
        <v>46293</v>
      </c>
      <c r="C77" s="19" t="s">
        <v>309</v>
      </c>
      <c r="D77" s="19" t="s">
        <v>194</v>
      </c>
      <c r="E77" s="22" t="n">
        <f aca="false">INDEX(Households!$B$2:$B$17,MATCH(D77,Households!$A$2:$A$17,0))</f>
        <v>4</v>
      </c>
      <c r="F77" s="19" t="n">
        <v>4</v>
      </c>
      <c r="G77" s="23" t="n">
        <v>0.420138888888889</v>
      </c>
      <c r="H77" s="23" t="n">
        <v>0.472222222222222</v>
      </c>
      <c r="I77" s="22" t="n">
        <f aca="false">ROUND((H77-G77)*1440,0)</f>
        <v>75</v>
      </c>
      <c r="J77" s="19" t="s">
        <v>350</v>
      </c>
      <c r="K77" s="19" t="s">
        <v>95</v>
      </c>
      <c r="L77" s="19" t="s">
        <v>79</v>
      </c>
      <c r="M77" s="19" t="s">
        <v>330</v>
      </c>
      <c r="N77" s="19" t="s">
        <v>330</v>
      </c>
      <c r="O77" s="19" t="s">
        <v>331</v>
      </c>
      <c r="P77" s="19"/>
      <c r="Q77" s="19" t="s">
        <v>330</v>
      </c>
      <c r="R77" s="19" t="s">
        <v>161</v>
      </c>
      <c r="S77" s="19"/>
      <c r="T77" s="22" t="n">
        <f aca="false">ROUND(INDEX(Appliances!$C$2:$C$4,MATCH(K77,Appliances!$B$2:$B$4,0))*I77/60*Config!$B$10,2)</f>
        <v>1.5</v>
      </c>
      <c r="U77" s="22" t="n">
        <f aca="false">ROUND(I77/F77,1)</f>
        <v>18.8</v>
      </c>
      <c r="V77" s="22" t="str">
        <f aca="false">IF(F77&lt;=3,"1-3",IF(F77&lt;=5,"4-5",IF(F77&lt;=7,"6-7","8+")))</f>
        <v>4-5</v>
      </c>
    </row>
    <row r="78" customFormat="false" ht="15" hidden="false" customHeight="false" outlineLevel="0" collapsed="false">
      <c r="A78" s="19" t="s">
        <v>417</v>
      </c>
      <c r="B78" s="20" t="n">
        <v>46293</v>
      </c>
      <c r="C78" s="19" t="s">
        <v>310</v>
      </c>
      <c r="D78" s="19" t="s">
        <v>196</v>
      </c>
      <c r="E78" s="22" t="n">
        <f aca="false">INDEX(Households!$B$2:$B$17,MATCH(D78,Households!$A$2:$A$17,0))</f>
        <v>6</v>
      </c>
      <c r="F78" s="19" t="n">
        <v>6</v>
      </c>
      <c r="G78" s="23" t="n">
        <v>0.5</v>
      </c>
      <c r="H78" s="23" t="n">
        <v>0.545138888888889</v>
      </c>
      <c r="I78" s="22" t="n">
        <f aca="false">ROUND((H78-G78)*1440,0)</f>
        <v>65</v>
      </c>
      <c r="J78" s="19" t="s">
        <v>359</v>
      </c>
      <c r="K78" s="19" t="s">
        <v>95</v>
      </c>
      <c r="L78" s="19" t="s">
        <v>79</v>
      </c>
      <c r="M78" s="19" t="s">
        <v>330</v>
      </c>
      <c r="N78" s="19" t="s">
        <v>330</v>
      </c>
      <c r="O78" s="19" t="s">
        <v>331</v>
      </c>
      <c r="P78" s="19"/>
      <c r="Q78" s="19" t="s">
        <v>331</v>
      </c>
      <c r="R78" s="19"/>
      <c r="S78" s="19"/>
      <c r="T78" s="22" t="n">
        <f aca="false">ROUND(INDEX(Appliances!$C$2:$C$4,MATCH(K78,Appliances!$B$2:$B$4,0))*I78/60*Config!$B$10,2)</f>
        <v>1.3</v>
      </c>
      <c r="U78" s="22" t="n">
        <f aca="false">ROUND(I78/F78,1)</f>
        <v>10.8</v>
      </c>
      <c r="V78" s="22" t="str">
        <f aca="false">IF(F78&lt;=3,"1-3",IF(F78&lt;=5,"4-5",IF(F78&lt;=7,"6-7","8+")))</f>
        <v>6-7</v>
      </c>
    </row>
    <row r="79" customFormat="false" ht="15" hidden="false" customHeight="false" outlineLevel="0" collapsed="false">
      <c r="A79" s="19" t="s">
        <v>418</v>
      </c>
      <c r="B79" s="20" t="n">
        <v>46293</v>
      </c>
      <c r="C79" s="19" t="s">
        <v>311</v>
      </c>
      <c r="D79" s="19" t="s">
        <v>198</v>
      </c>
      <c r="E79" s="22" t="n">
        <f aca="false">INDEX(Households!$B$2:$B$17,MATCH(D79,Households!$A$2:$A$17,0))</f>
        <v>3</v>
      </c>
      <c r="F79" s="19" t="n">
        <v>3</v>
      </c>
      <c r="G79" s="23" t="n">
        <v>0.583333333333333</v>
      </c>
      <c r="H79" s="23" t="n">
        <v>0.607638888888889</v>
      </c>
      <c r="I79" s="22" t="n">
        <f aca="false">ROUND((H79-G79)*1440,0)</f>
        <v>35</v>
      </c>
      <c r="J79" s="19" t="s">
        <v>85</v>
      </c>
      <c r="K79" s="19" t="s">
        <v>97</v>
      </c>
      <c r="L79" s="19" t="s">
        <v>81</v>
      </c>
      <c r="M79" s="19" t="s">
        <v>330</v>
      </c>
      <c r="N79" s="19" t="s">
        <v>330</v>
      </c>
      <c r="O79" s="19" t="s">
        <v>331</v>
      </c>
      <c r="P79" s="19"/>
      <c r="Q79" s="19" t="s">
        <v>331</v>
      </c>
      <c r="R79" s="19"/>
      <c r="S79" s="19"/>
      <c r="T79" s="22" t="n">
        <f aca="false">ROUND(INDEX(Appliances!$C$2:$C$4,MATCH(K79,Appliances!$B$2:$B$4,0))*I79/60*Config!$B$10,2)</f>
        <v>0.25</v>
      </c>
      <c r="U79" s="22" t="n">
        <f aca="false">ROUND(I79/F79,1)</f>
        <v>11.7</v>
      </c>
      <c r="V79" s="22" t="str">
        <f aca="false">IF(F79&lt;=3,"1-3",IF(F79&lt;=5,"4-5",IF(F79&lt;=7,"6-7","8+")))</f>
        <v>1-3</v>
      </c>
    </row>
    <row r="80" customFormat="false" ht="15" hidden="false" customHeight="false" outlineLevel="0" collapsed="false">
      <c r="A80" s="19" t="s">
        <v>419</v>
      </c>
      <c r="B80" s="20" t="n">
        <v>46293</v>
      </c>
      <c r="C80" s="19" t="s">
        <v>312</v>
      </c>
      <c r="D80" s="19" t="s">
        <v>203</v>
      </c>
      <c r="E80" s="22" t="n">
        <f aca="false">INDEX(Households!$B$2:$B$17,MATCH(D80,Households!$A$2:$A$17,0))</f>
        <v>4</v>
      </c>
      <c r="F80" s="19" t="n">
        <v>4</v>
      </c>
      <c r="G80" s="23" t="n">
        <v>0.690972222222222</v>
      </c>
      <c r="H80" s="23" t="n">
        <v>0.739583333333333</v>
      </c>
      <c r="I80" s="22" t="n">
        <f aca="false">ROUND((H80-G80)*1440,0)</f>
        <v>70</v>
      </c>
      <c r="J80" s="19" t="s">
        <v>329</v>
      </c>
      <c r="K80" s="19" t="s">
        <v>96</v>
      </c>
      <c r="L80" s="19" t="s">
        <v>81</v>
      </c>
      <c r="M80" s="19" t="s">
        <v>330</v>
      </c>
      <c r="N80" s="19" t="s">
        <v>330</v>
      </c>
      <c r="O80" s="19" t="s">
        <v>331</v>
      </c>
      <c r="P80" s="19"/>
      <c r="Q80" s="19" t="s">
        <v>330</v>
      </c>
      <c r="R80" s="19" t="s">
        <v>159</v>
      </c>
      <c r="S80" s="19"/>
      <c r="T80" s="22" t="n">
        <f aca="false">ROUND(INDEX(Appliances!$C$2:$C$4,MATCH(K80,Appliances!$B$2:$B$4,0))*I80/60*Config!$B$10,2)</f>
        <v>0.7</v>
      </c>
      <c r="U80" s="22" t="n">
        <f aca="false">ROUND(I80/F80,1)</f>
        <v>17.5</v>
      </c>
      <c r="V80" s="22" t="str">
        <f aca="false">IF(F80&lt;=3,"1-3",IF(F80&lt;=5,"4-5",IF(F80&lt;=7,"6-7","8+")))</f>
        <v>4-5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</cols>
  <sheetData>
    <row r="1" customFormat="false" ht="31.5" hidden="false" customHeight="true" outlineLevel="0" collapsed="false">
      <c r="A1" s="18" t="s">
        <v>313</v>
      </c>
      <c r="B1" s="18" t="s">
        <v>83</v>
      </c>
    </row>
    <row r="2" customFormat="false" ht="15" hidden="false" customHeight="false" outlineLevel="0" collapsed="false">
      <c r="A2" s="19" t="s">
        <v>328</v>
      </c>
      <c r="B2" s="19" t="s">
        <v>85</v>
      </c>
    </row>
    <row r="3" customFormat="false" ht="15" hidden="false" customHeight="false" outlineLevel="0" collapsed="false">
      <c r="A3" s="19" t="s">
        <v>328</v>
      </c>
      <c r="B3" s="19" t="s">
        <v>86</v>
      </c>
    </row>
    <row r="4" customFormat="false" ht="15" hidden="false" customHeight="false" outlineLevel="0" collapsed="false">
      <c r="A4" s="19" t="s">
        <v>332</v>
      </c>
      <c r="B4" s="19" t="s">
        <v>85</v>
      </c>
    </row>
    <row r="5" customFormat="false" ht="15" hidden="false" customHeight="false" outlineLevel="0" collapsed="false">
      <c r="A5" s="19" t="s">
        <v>332</v>
      </c>
      <c r="B5" s="19" t="s">
        <v>87</v>
      </c>
    </row>
    <row r="6" customFormat="false" ht="15" hidden="false" customHeight="false" outlineLevel="0" collapsed="false">
      <c r="A6" s="19" t="s">
        <v>334</v>
      </c>
      <c r="B6" s="19" t="s">
        <v>85</v>
      </c>
    </row>
    <row r="7" customFormat="false" ht="15" hidden="false" customHeight="false" outlineLevel="0" collapsed="false">
      <c r="A7" s="19" t="s">
        <v>334</v>
      </c>
      <c r="B7" s="19" t="s">
        <v>86</v>
      </c>
    </row>
    <row r="8" customFormat="false" ht="15" hidden="false" customHeight="false" outlineLevel="0" collapsed="false">
      <c r="A8" s="19" t="s">
        <v>334</v>
      </c>
      <c r="B8" s="19" t="s">
        <v>88</v>
      </c>
    </row>
    <row r="9" customFormat="false" ht="15" hidden="false" customHeight="false" outlineLevel="0" collapsed="false">
      <c r="A9" s="19" t="s">
        <v>336</v>
      </c>
      <c r="B9" s="19" t="s">
        <v>85</v>
      </c>
    </row>
    <row r="10" customFormat="false" ht="15" hidden="false" customHeight="false" outlineLevel="0" collapsed="false">
      <c r="A10" s="19" t="s">
        <v>336</v>
      </c>
      <c r="B10" s="19" t="s">
        <v>89</v>
      </c>
    </row>
    <row r="11" customFormat="false" ht="15" hidden="false" customHeight="false" outlineLevel="0" collapsed="false">
      <c r="A11" s="19" t="s">
        <v>338</v>
      </c>
      <c r="B11" s="19" t="s">
        <v>85</v>
      </c>
    </row>
    <row r="12" customFormat="false" ht="15" hidden="false" customHeight="false" outlineLevel="0" collapsed="false">
      <c r="A12" s="19" t="s">
        <v>338</v>
      </c>
      <c r="B12" s="19" t="s">
        <v>86</v>
      </c>
    </row>
    <row r="13" customFormat="false" ht="15" hidden="false" customHeight="false" outlineLevel="0" collapsed="false">
      <c r="A13" s="19" t="s">
        <v>339</v>
      </c>
      <c r="B13" s="19" t="s">
        <v>85</v>
      </c>
    </row>
    <row r="14" customFormat="false" ht="15" hidden="false" customHeight="false" outlineLevel="0" collapsed="false">
      <c r="A14" s="19" t="s">
        <v>339</v>
      </c>
      <c r="B14" s="19" t="s">
        <v>86</v>
      </c>
    </row>
    <row r="15" customFormat="false" ht="15" hidden="false" customHeight="false" outlineLevel="0" collapsed="false">
      <c r="A15" s="19" t="s">
        <v>339</v>
      </c>
      <c r="B15" s="19" t="s">
        <v>89</v>
      </c>
    </row>
    <row r="16" customFormat="false" ht="15" hidden="false" customHeight="false" outlineLevel="0" collapsed="false">
      <c r="A16" s="19" t="s">
        <v>342</v>
      </c>
      <c r="B16" s="19" t="s">
        <v>91</v>
      </c>
    </row>
    <row r="17" customFormat="false" ht="15" hidden="false" customHeight="false" outlineLevel="0" collapsed="false">
      <c r="A17" s="19" t="s">
        <v>343</v>
      </c>
      <c r="B17" s="19" t="s">
        <v>85</v>
      </c>
    </row>
    <row r="18" customFormat="false" ht="15" hidden="false" customHeight="false" outlineLevel="0" collapsed="false">
      <c r="A18" s="19" t="s">
        <v>343</v>
      </c>
      <c r="B18" s="19" t="s">
        <v>86</v>
      </c>
    </row>
    <row r="19" customFormat="false" ht="15" hidden="false" customHeight="false" outlineLevel="0" collapsed="false">
      <c r="A19" s="19" t="s">
        <v>344</v>
      </c>
      <c r="B19" s="19" t="s">
        <v>85</v>
      </c>
    </row>
    <row r="20" customFormat="false" ht="15" hidden="false" customHeight="false" outlineLevel="0" collapsed="false">
      <c r="A20" s="19" t="s">
        <v>344</v>
      </c>
      <c r="B20" s="19" t="s">
        <v>86</v>
      </c>
    </row>
    <row r="21" customFormat="false" ht="15" hidden="false" customHeight="false" outlineLevel="0" collapsed="false">
      <c r="A21" s="19" t="s">
        <v>344</v>
      </c>
      <c r="B21" s="19" t="s">
        <v>87</v>
      </c>
    </row>
    <row r="22" customFormat="false" ht="15" hidden="false" customHeight="false" outlineLevel="0" collapsed="false">
      <c r="A22" s="19" t="s">
        <v>346</v>
      </c>
      <c r="B22" s="19" t="s">
        <v>85</v>
      </c>
    </row>
    <row r="23" customFormat="false" ht="15" hidden="false" customHeight="false" outlineLevel="0" collapsed="false">
      <c r="A23" s="19" t="s">
        <v>346</v>
      </c>
      <c r="B23" s="19" t="s">
        <v>86</v>
      </c>
    </row>
    <row r="24" customFormat="false" ht="15" hidden="false" customHeight="false" outlineLevel="0" collapsed="false">
      <c r="A24" s="19" t="s">
        <v>346</v>
      </c>
      <c r="B24" s="19" t="s">
        <v>87</v>
      </c>
    </row>
    <row r="25" customFormat="false" ht="15" hidden="false" customHeight="false" outlineLevel="0" collapsed="false">
      <c r="A25" s="19" t="s">
        <v>348</v>
      </c>
      <c r="B25" s="19" t="s">
        <v>85</v>
      </c>
    </row>
    <row r="26" customFormat="false" ht="15" hidden="false" customHeight="false" outlineLevel="0" collapsed="false">
      <c r="A26" s="19" t="s">
        <v>348</v>
      </c>
      <c r="B26" s="19" t="s">
        <v>87</v>
      </c>
    </row>
    <row r="27" customFormat="false" ht="15" hidden="false" customHeight="false" outlineLevel="0" collapsed="false">
      <c r="A27" s="19" t="s">
        <v>349</v>
      </c>
      <c r="B27" s="19" t="s">
        <v>85</v>
      </c>
    </row>
    <row r="28" customFormat="false" ht="15" hidden="false" customHeight="false" outlineLevel="0" collapsed="false">
      <c r="A28" s="19" t="s">
        <v>349</v>
      </c>
      <c r="B28" s="19" t="s">
        <v>88</v>
      </c>
    </row>
    <row r="29" customFormat="false" ht="15" hidden="false" customHeight="false" outlineLevel="0" collapsed="false">
      <c r="A29" s="19" t="s">
        <v>351</v>
      </c>
      <c r="B29" s="19" t="s">
        <v>85</v>
      </c>
    </row>
    <row r="30" customFormat="false" ht="15" hidden="false" customHeight="false" outlineLevel="0" collapsed="false">
      <c r="A30" s="19" t="s">
        <v>351</v>
      </c>
      <c r="B30" s="19" t="s">
        <v>86</v>
      </c>
    </row>
    <row r="31" customFormat="false" ht="15" hidden="false" customHeight="false" outlineLevel="0" collapsed="false">
      <c r="A31" s="19" t="s">
        <v>351</v>
      </c>
      <c r="B31" s="19" t="s">
        <v>87</v>
      </c>
    </row>
    <row r="32" customFormat="false" ht="15" hidden="false" customHeight="false" outlineLevel="0" collapsed="false">
      <c r="A32" s="19" t="s">
        <v>352</v>
      </c>
      <c r="B32" s="19" t="s">
        <v>91</v>
      </c>
    </row>
    <row r="33" customFormat="false" ht="15" hidden="false" customHeight="false" outlineLevel="0" collapsed="false">
      <c r="A33" s="19" t="s">
        <v>353</v>
      </c>
      <c r="B33" s="19" t="s">
        <v>85</v>
      </c>
    </row>
    <row r="34" customFormat="false" ht="15" hidden="false" customHeight="false" outlineLevel="0" collapsed="false">
      <c r="A34" s="19" t="s">
        <v>353</v>
      </c>
      <c r="B34" s="19" t="s">
        <v>86</v>
      </c>
    </row>
    <row r="35" customFormat="false" ht="15" hidden="false" customHeight="false" outlineLevel="0" collapsed="false">
      <c r="A35" s="19" t="s">
        <v>353</v>
      </c>
      <c r="B35" s="19" t="s">
        <v>87</v>
      </c>
    </row>
    <row r="36" customFormat="false" ht="15" hidden="false" customHeight="false" outlineLevel="0" collapsed="false">
      <c r="A36" s="19" t="s">
        <v>354</v>
      </c>
      <c r="B36" s="19" t="s">
        <v>85</v>
      </c>
    </row>
    <row r="37" customFormat="false" ht="15" hidden="false" customHeight="false" outlineLevel="0" collapsed="false">
      <c r="A37" s="19" t="s">
        <v>354</v>
      </c>
      <c r="B37" s="19" t="s">
        <v>86</v>
      </c>
    </row>
    <row r="38" customFormat="false" ht="15" hidden="false" customHeight="false" outlineLevel="0" collapsed="false">
      <c r="A38" s="19" t="s">
        <v>354</v>
      </c>
      <c r="B38" s="19" t="s">
        <v>87</v>
      </c>
    </row>
    <row r="39" customFormat="false" ht="15" hidden="false" customHeight="false" outlineLevel="0" collapsed="false">
      <c r="A39" s="19" t="s">
        <v>355</v>
      </c>
      <c r="B39" s="19" t="s">
        <v>85</v>
      </c>
    </row>
    <row r="40" customFormat="false" ht="15" hidden="false" customHeight="false" outlineLevel="0" collapsed="false">
      <c r="A40" s="19" t="s">
        <v>355</v>
      </c>
      <c r="B40" s="19" t="s">
        <v>86</v>
      </c>
    </row>
    <row r="41" customFormat="false" ht="15" hidden="false" customHeight="false" outlineLevel="0" collapsed="false">
      <c r="A41" s="19" t="s">
        <v>355</v>
      </c>
      <c r="B41" s="19" t="s">
        <v>88</v>
      </c>
    </row>
    <row r="42" customFormat="false" ht="15" hidden="false" customHeight="false" outlineLevel="0" collapsed="false">
      <c r="A42" s="19" t="s">
        <v>356</v>
      </c>
      <c r="B42" s="19" t="s">
        <v>85</v>
      </c>
    </row>
    <row r="43" customFormat="false" ht="15" hidden="false" customHeight="false" outlineLevel="0" collapsed="false">
      <c r="A43" s="19" t="s">
        <v>356</v>
      </c>
      <c r="B43" s="19" t="s">
        <v>86</v>
      </c>
    </row>
    <row r="44" customFormat="false" ht="15" hidden="false" customHeight="false" outlineLevel="0" collapsed="false">
      <c r="A44" s="19" t="s">
        <v>358</v>
      </c>
      <c r="B44" s="19" t="s">
        <v>85</v>
      </c>
    </row>
    <row r="45" customFormat="false" ht="15" hidden="false" customHeight="false" outlineLevel="0" collapsed="false">
      <c r="A45" s="19" t="s">
        <v>358</v>
      </c>
      <c r="B45" s="19" t="s">
        <v>90</v>
      </c>
    </row>
    <row r="46" customFormat="false" ht="15" hidden="false" customHeight="false" outlineLevel="0" collapsed="false">
      <c r="A46" s="19" t="s">
        <v>360</v>
      </c>
      <c r="B46" s="19" t="s">
        <v>85</v>
      </c>
    </row>
    <row r="47" customFormat="false" ht="15" hidden="false" customHeight="false" outlineLevel="0" collapsed="false">
      <c r="A47" s="19" t="s">
        <v>360</v>
      </c>
      <c r="B47" s="19" t="s">
        <v>86</v>
      </c>
    </row>
    <row r="48" customFormat="false" ht="15" hidden="false" customHeight="false" outlineLevel="0" collapsed="false">
      <c r="A48" s="19" t="s">
        <v>361</v>
      </c>
      <c r="B48" s="19" t="s">
        <v>85</v>
      </c>
    </row>
    <row r="49" customFormat="false" ht="15" hidden="false" customHeight="false" outlineLevel="0" collapsed="false">
      <c r="A49" s="19" t="s">
        <v>361</v>
      </c>
      <c r="B49" s="19" t="s">
        <v>86</v>
      </c>
    </row>
    <row r="50" customFormat="false" ht="15" hidden="false" customHeight="false" outlineLevel="0" collapsed="false">
      <c r="A50" s="19" t="s">
        <v>361</v>
      </c>
      <c r="B50" s="19" t="s">
        <v>87</v>
      </c>
    </row>
    <row r="51" customFormat="false" ht="15" hidden="false" customHeight="false" outlineLevel="0" collapsed="false">
      <c r="A51" s="19" t="s">
        <v>362</v>
      </c>
      <c r="B51" s="19" t="s">
        <v>85</v>
      </c>
    </row>
    <row r="52" customFormat="false" ht="15" hidden="false" customHeight="false" outlineLevel="0" collapsed="false">
      <c r="A52" s="19" t="s">
        <v>362</v>
      </c>
      <c r="B52" s="19" t="s">
        <v>90</v>
      </c>
    </row>
    <row r="53" customFormat="false" ht="15" hidden="false" customHeight="false" outlineLevel="0" collapsed="false">
      <c r="A53" s="19" t="s">
        <v>363</v>
      </c>
      <c r="B53" s="19" t="s">
        <v>85</v>
      </c>
    </row>
    <row r="54" customFormat="false" ht="15" hidden="false" customHeight="false" outlineLevel="0" collapsed="false">
      <c r="A54" s="19" t="s">
        <v>363</v>
      </c>
      <c r="B54" s="19" t="s">
        <v>88</v>
      </c>
    </row>
    <row r="55" customFormat="false" ht="15" hidden="false" customHeight="false" outlineLevel="0" collapsed="false">
      <c r="A55" s="19" t="s">
        <v>364</v>
      </c>
      <c r="B55" s="19" t="s">
        <v>85</v>
      </c>
    </row>
    <row r="56" customFormat="false" ht="15" hidden="false" customHeight="false" outlineLevel="0" collapsed="false">
      <c r="A56" s="19" t="s">
        <v>364</v>
      </c>
      <c r="B56" s="19" t="s">
        <v>90</v>
      </c>
    </row>
    <row r="57" customFormat="false" ht="15" hidden="false" customHeight="false" outlineLevel="0" collapsed="false">
      <c r="A57" s="19" t="s">
        <v>365</v>
      </c>
      <c r="B57" s="19" t="s">
        <v>91</v>
      </c>
    </row>
    <row r="58" customFormat="false" ht="15" hidden="false" customHeight="false" outlineLevel="0" collapsed="false">
      <c r="A58" s="19" t="s">
        <v>366</v>
      </c>
      <c r="B58" s="19" t="s">
        <v>85</v>
      </c>
    </row>
    <row r="59" customFormat="false" ht="15" hidden="false" customHeight="false" outlineLevel="0" collapsed="false">
      <c r="A59" s="19" t="s">
        <v>366</v>
      </c>
      <c r="B59" s="19" t="s">
        <v>89</v>
      </c>
    </row>
    <row r="60" customFormat="false" ht="15" hidden="false" customHeight="false" outlineLevel="0" collapsed="false">
      <c r="A60" s="19" t="s">
        <v>367</v>
      </c>
      <c r="B60" s="19" t="s">
        <v>85</v>
      </c>
    </row>
    <row r="61" customFormat="false" ht="15" hidden="false" customHeight="false" outlineLevel="0" collapsed="false">
      <c r="A61" s="19" t="s">
        <v>367</v>
      </c>
      <c r="B61" s="19" t="s">
        <v>86</v>
      </c>
    </row>
    <row r="62" customFormat="false" ht="15" hidden="false" customHeight="false" outlineLevel="0" collapsed="false">
      <c r="A62" s="19" t="s">
        <v>368</v>
      </c>
      <c r="B62" s="19" t="s">
        <v>85</v>
      </c>
    </row>
    <row r="63" customFormat="false" ht="15" hidden="false" customHeight="false" outlineLevel="0" collapsed="false">
      <c r="A63" s="19" t="s">
        <v>368</v>
      </c>
      <c r="B63" s="19" t="s">
        <v>86</v>
      </c>
    </row>
    <row r="64" customFormat="false" ht="15" hidden="false" customHeight="false" outlineLevel="0" collapsed="false">
      <c r="A64" s="19" t="s">
        <v>369</v>
      </c>
      <c r="B64" s="19" t="s">
        <v>85</v>
      </c>
    </row>
    <row r="65" customFormat="false" ht="15" hidden="false" customHeight="false" outlineLevel="0" collapsed="false">
      <c r="A65" s="19" t="s">
        <v>369</v>
      </c>
      <c r="B65" s="19" t="s">
        <v>86</v>
      </c>
    </row>
    <row r="66" customFormat="false" ht="15" hidden="false" customHeight="false" outlineLevel="0" collapsed="false">
      <c r="A66" s="19" t="s">
        <v>369</v>
      </c>
      <c r="B66" s="19" t="s">
        <v>87</v>
      </c>
    </row>
    <row r="67" customFormat="false" ht="15" hidden="false" customHeight="false" outlineLevel="0" collapsed="false">
      <c r="A67" s="19" t="s">
        <v>370</v>
      </c>
      <c r="B67" s="19" t="s">
        <v>85</v>
      </c>
    </row>
    <row r="68" customFormat="false" ht="15" hidden="false" customHeight="false" outlineLevel="0" collapsed="false">
      <c r="A68" s="19" t="s">
        <v>370</v>
      </c>
      <c r="B68" s="19" t="s">
        <v>90</v>
      </c>
    </row>
    <row r="69" customFormat="false" ht="15" hidden="false" customHeight="false" outlineLevel="0" collapsed="false">
      <c r="A69" s="19" t="s">
        <v>371</v>
      </c>
      <c r="B69" s="19" t="s">
        <v>85</v>
      </c>
    </row>
    <row r="70" customFormat="false" ht="15" hidden="false" customHeight="false" outlineLevel="0" collapsed="false">
      <c r="A70" s="19" t="s">
        <v>371</v>
      </c>
      <c r="B70" s="19" t="s">
        <v>86</v>
      </c>
    </row>
    <row r="71" customFormat="false" ht="15" hidden="false" customHeight="false" outlineLevel="0" collapsed="false">
      <c r="A71" s="19" t="s">
        <v>371</v>
      </c>
      <c r="B71" s="19" t="s">
        <v>87</v>
      </c>
    </row>
    <row r="72" customFormat="false" ht="15" hidden="false" customHeight="false" outlineLevel="0" collapsed="false">
      <c r="A72" s="19" t="s">
        <v>372</v>
      </c>
      <c r="B72" s="19" t="s">
        <v>85</v>
      </c>
    </row>
    <row r="73" customFormat="false" ht="15" hidden="false" customHeight="false" outlineLevel="0" collapsed="false">
      <c r="A73" s="19" t="s">
        <v>372</v>
      </c>
      <c r="B73" s="19" t="s">
        <v>86</v>
      </c>
    </row>
    <row r="74" customFormat="false" ht="15" hidden="false" customHeight="false" outlineLevel="0" collapsed="false">
      <c r="A74" s="19" t="s">
        <v>372</v>
      </c>
      <c r="B74" s="19" t="s">
        <v>87</v>
      </c>
    </row>
    <row r="75" customFormat="false" ht="15" hidden="false" customHeight="false" outlineLevel="0" collapsed="false">
      <c r="A75" s="19" t="s">
        <v>373</v>
      </c>
      <c r="B75" s="19" t="s">
        <v>85</v>
      </c>
    </row>
    <row r="76" customFormat="false" ht="15" hidden="false" customHeight="false" outlineLevel="0" collapsed="false">
      <c r="A76" s="19" t="s">
        <v>373</v>
      </c>
      <c r="B76" s="19" t="s">
        <v>86</v>
      </c>
    </row>
    <row r="77" customFormat="false" ht="15" hidden="false" customHeight="false" outlineLevel="0" collapsed="false">
      <c r="A77" s="19" t="s">
        <v>373</v>
      </c>
      <c r="B77" s="19" t="s">
        <v>87</v>
      </c>
    </row>
    <row r="78" customFormat="false" ht="15" hidden="false" customHeight="false" outlineLevel="0" collapsed="false">
      <c r="A78" s="19" t="s">
        <v>374</v>
      </c>
      <c r="B78" s="19" t="s">
        <v>85</v>
      </c>
    </row>
    <row r="79" customFormat="false" ht="15" hidden="false" customHeight="false" outlineLevel="0" collapsed="false">
      <c r="A79" s="19" t="s">
        <v>374</v>
      </c>
      <c r="B79" s="19" t="s">
        <v>86</v>
      </c>
    </row>
    <row r="80" customFormat="false" ht="15" hidden="false" customHeight="false" outlineLevel="0" collapsed="false">
      <c r="A80" s="19" t="s">
        <v>374</v>
      </c>
      <c r="B80" s="19" t="s">
        <v>88</v>
      </c>
    </row>
    <row r="81" customFormat="false" ht="15" hidden="false" customHeight="false" outlineLevel="0" collapsed="false">
      <c r="A81" s="19" t="s">
        <v>375</v>
      </c>
      <c r="B81" s="19" t="s">
        <v>85</v>
      </c>
    </row>
    <row r="82" customFormat="false" ht="15" hidden="false" customHeight="false" outlineLevel="0" collapsed="false">
      <c r="A82" s="19" t="s">
        <v>375</v>
      </c>
      <c r="B82" s="19" t="s">
        <v>89</v>
      </c>
    </row>
    <row r="83" customFormat="false" ht="15" hidden="false" customHeight="false" outlineLevel="0" collapsed="false">
      <c r="A83" s="19" t="s">
        <v>376</v>
      </c>
      <c r="B83" s="19" t="s">
        <v>85</v>
      </c>
    </row>
    <row r="84" customFormat="false" ht="15" hidden="false" customHeight="false" outlineLevel="0" collapsed="false">
      <c r="A84" s="19" t="s">
        <v>376</v>
      </c>
      <c r="B84" s="19" t="s">
        <v>90</v>
      </c>
    </row>
    <row r="85" customFormat="false" ht="15" hidden="false" customHeight="false" outlineLevel="0" collapsed="false">
      <c r="A85" s="19" t="s">
        <v>377</v>
      </c>
      <c r="B85" s="19" t="s">
        <v>85</v>
      </c>
    </row>
    <row r="86" customFormat="false" ht="15" hidden="false" customHeight="false" outlineLevel="0" collapsed="false">
      <c r="A86" s="19" t="s">
        <v>378</v>
      </c>
      <c r="B86" s="19" t="s">
        <v>85</v>
      </c>
    </row>
    <row r="87" customFormat="false" ht="15" hidden="false" customHeight="false" outlineLevel="0" collapsed="false">
      <c r="A87" s="19" t="s">
        <v>378</v>
      </c>
      <c r="B87" s="19" t="s">
        <v>88</v>
      </c>
    </row>
    <row r="88" customFormat="false" ht="15" hidden="false" customHeight="false" outlineLevel="0" collapsed="false">
      <c r="A88" s="19" t="s">
        <v>379</v>
      </c>
      <c r="B88" s="19" t="s">
        <v>85</v>
      </c>
    </row>
    <row r="89" customFormat="false" ht="15" hidden="false" customHeight="false" outlineLevel="0" collapsed="false">
      <c r="A89" s="19" t="s">
        <v>379</v>
      </c>
      <c r="B89" s="19" t="s">
        <v>86</v>
      </c>
    </row>
    <row r="90" customFormat="false" ht="15" hidden="false" customHeight="false" outlineLevel="0" collapsed="false">
      <c r="A90" s="19" t="s">
        <v>380</v>
      </c>
      <c r="B90" s="19" t="s">
        <v>85</v>
      </c>
    </row>
    <row r="91" customFormat="false" ht="15" hidden="false" customHeight="false" outlineLevel="0" collapsed="false">
      <c r="A91" s="19" t="s">
        <v>380</v>
      </c>
      <c r="B91" s="19" t="s">
        <v>86</v>
      </c>
    </row>
    <row r="92" customFormat="false" ht="15" hidden="false" customHeight="false" outlineLevel="0" collapsed="false">
      <c r="A92" s="19" t="s">
        <v>381</v>
      </c>
      <c r="B92" s="19" t="s">
        <v>85</v>
      </c>
    </row>
    <row r="93" customFormat="false" ht="15" hidden="false" customHeight="false" outlineLevel="0" collapsed="false">
      <c r="A93" s="19" t="s">
        <v>381</v>
      </c>
      <c r="B93" s="19" t="s">
        <v>88</v>
      </c>
    </row>
    <row r="94" customFormat="false" ht="15" hidden="false" customHeight="false" outlineLevel="0" collapsed="false">
      <c r="A94" s="19" t="s">
        <v>382</v>
      </c>
      <c r="B94" s="19" t="s">
        <v>85</v>
      </c>
    </row>
    <row r="95" customFormat="false" ht="15" hidden="false" customHeight="false" outlineLevel="0" collapsed="false">
      <c r="A95" s="19" t="s">
        <v>382</v>
      </c>
      <c r="B95" s="19" t="s">
        <v>86</v>
      </c>
    </row>
    <row r="96" customFormat="false" ht="15" hidden="false" customHeight="false" outlineLevel="0" collapsed="false">
      <c r="A96" s="19" t="s">
        <v>383</v>
      </c>
      <c r="B96" s="19" t="s">
        <v>85</v>
      </c>
    </row>
    <row r="97" customFormat="false" ht="15" hidden="false" customHeight="false" outlineLevel="0" collapsed="false">
      <c r="A97" s="19" t="s">
        <v>383</v>
      </c>
      <c r="B97" s="19" t="s">
        <v>86</v>
      </c>
    </row>
    <row r="98" customFormat="false" ht="15" hidden="false" customHeight="false" outlineLevel="0" collapsed="false">
      <c r="A98" s="19" t="s">
        <v>384</v>
      </c>
      <c r="B98" s="19" t="s">
        <v>91</v>
      </c>
    </row>
    <row r="99" customFormat="false" ht="15" hidden="false" customHeight="false" outlineLevel="0" collapsed="false">
      <c r="A99" s="19" t="s">
        <v>385</v>
      </c>
      <c r="B99" s="19" t="s">
        <v>85</v>
      </c>
    </row>
    <row r="100" customFormat="false" ht="15" hidden="false" customHeight="false" outlineLevel="0" collapsed="false">
      <c r="A100" s="19" t="s">
        <v>385</v>
      </c>
      <c r="B100" s="19" t="s">
        <v>90</v>
      </c>
    </row>
    <row r="101" customFormat="false" ht="15" hidden="false" customHeight="false" outlineLevel="0" collapsed="false">
      <c r="A101" s="19" t="s">
        <v>386</v>
      </c>
      <c r="B101" s="19" t="s">
        <v>85</v>
      </c>
    </row>
    <row r="102" customFormat="false" ht="15" hidden="false" customHeight="false" outlineLevel="0" collapsed="false">
      <c r="A102" s="19" t="s">
        <v>386</v>
      </c>
      <c r="B102" s="19" t="s">
        <v>87</v>
      </c>
    </row>
    <row r="103" customFormat="false" ht="15" hidden="false" customHeight="false" outlineLevel="0" collapsed="false">
      <c r="A103" s="19" t="s">
        <v>387</v>
      </c>
      <c r="B103" s="19" t="s">
        <v>85</v>
      </c>
    </row>
    <row r="104" customFormat="false" ht="15" hidden="false" customHeight="false" outlineLevel="0" collapsed="false">
      <c r="A104" s="19" t="s">
        <v>387</v>
      </c>
      <c r="B104" s="19" t="s">
        <v>89</v>
      </c>
    </row>
    <row r="105" customFormat="false" ht="15" hidden="false" customHeight="false" outlineLevel="0" collapsed="false">
      <c r="A105" s="19" t="s">
        <v>388</v>
      </c>
      <c r="B105" s="19" t="s">
        <v>85</v>
      </c>
    </row>
    <row r="106" customFormat="false" ht="15" hidden="false" customHeight="false" outlineLevel="0" collapsed="false">
      <c r="A106" s="19" t="s">
        <v>388</v>
      </c>
      <c r="B106" s="19" t="s">
        <v>90</v>
      </c>
    </row>
    <row r="107" customFormat="false" ht="15" hidden="false" customHeight="false" outlineLevel="0" collapsed="false">
      <c r="A107" s="19" t="s">
        <v>389</v>
      </c>
      <c r="B107" s="19" t="s">
        <v>85</v>
      </c>
    </row>
    <row r="108" customFormat="false" ht="15" hidden="false" customHeight="false" outlineLevel="0" collapsed="false">
      <c r="A108" s="19" t="s">
        <v>389</v>
      </c>
      <c r="B108" s="19" t="s">
        <v>89</v>
      </c>
    </row>
    <row r="109" customFormat="false" ht="15" hidden="false" customHeight="false" outlineLevel="0" collapsed="false">
      <c r="A109" s="19" t="s">
        <v>390</v>
      </c>
      <c r="B109" s="19" t="s">
        <v>85</v>
      </c>
    </row>
    <row r="110" customFormat="false" ht="15" hidden="false" customHeight="false" outlineLevel="0" collapsed="false">
      <c r="A110" s="19" t="s">
        <v>390</v>
      </c>
      <c r="B110" s="19" t="s">
        <v>90</v>
      </c>
    </row>
    <row r="111" customFormat="false" ht="15" hidden="false" customHeight="false" outlineLevel="0" collapsed="false">
      <c r="A111" s="19" t="s">
        <v>391</v>
      </c>
      <c r="B111" s="19" t="s">
        <v>85</v>
      </c>
    </row>
    <row r="112" customFormat="false" ht="15" hidden="false" customHeight="false" outlineLevel="0" collapsed="false">
      <c r="A112" s="19" t="s">
        <v>391</v>
      </c>
      <c r="B112" s="19" t="s">
        <v>90</v>
      </c>
    </row>
    <row r="113" customFormat="false" ht="15" hidden="false" customHeight="false" outlineLevel="0" collapsed="false">
      <c r="A113" s="19" t="s">
        <v>392</v>
      </c>
      <c r="B113" s="19" t="s">
        <v>85</v>
      </c>
    </row>
    <row r="114" customFormat="false" ht="15" hidden="false" customHeight="false" outlineLevel="0" collapsed="false">
      <c r="A114" s="19" t="s">
        <v>392</v>
      </c>
      <c r="B114" s="19" t="s">
        <v>88</v>
      </c>
    </row>
    <row r="115" customFormat="false" ht="15" hidden="false" customHeight="false" outlineLevel="0" collapsed="false">
      <c r="A115" s="19" t="s">
        <v>393</v>
      </c>
      <c r="B115" s="19" t="s">
        <v>85</v>
      </c>
    </row>
    <row r="116" customFormat="false" ht="15" hidden="false" customHeight="false" outlineLevel="0" collapsed="false">
      <c r="A116" s="19" t="s">
        <v>393</v>
      </c>
      <c r="B116" s="19" t="s">
        <v>90</v>
      </c>
    </row>
    <row r="117" customFormat="false" ht="15" hidden="false" customHeight="false" outlineLevel="0" collapsed="false">
      <c r="A117" s="19" t="s">
        <v>394</v>
      </c>
      <c r="B117" s="19" t="s">
        <v>85</v>
      </c>
    </row>
    <row r="118" customFormat="false" ht="15" hidden="false" customHeight="false" outlineLevel="0" collapsed="false">
      <c r="A118" s="19" t="s">
        <v>394</v>
      </c>
      <c r="B118" s="19" t="s">
        <v>86</v>
      </c>
    </row>
    <row r="119" customFormat="false" ht="15" hidden="false" customHeight="false" outlineLevel="0" collapsed="false">
      <c r="A119" s="19" t="s">
        <v>395</v>
      </c>
      <c r="B119" s="19" t="s">
        <v>91</v>
      </c>
    </row>
    <row r="120" customFormat="false" ht="15" hidden="false" customHeight="false" outlineLevel="0" collapsed="false">
      <c r="A120" s="19" t="s">
        <v>396</v>
      </c>
      <c r="B120" s="19" t="s">
        <v>85</v>
      </c>
    </row>
    <row r="121" customFormat="false" ht="15" hidden="false" customHeight="false" outlineLevel="0" collapsed="false">
      <c r="A121" s="19" t="s">
        <v>396</v>
      </c>
      <c r="B121" s="19" t="s">
        <v>90</v>
      </c>
    </row>
    <row r="122" customFormat="false" ht="15" hidden="false" customHeight="false" outlineLevel="0" collapsed="false">
      <c r="A122" s="19" t="s">
        <v>397</v>
      </c>
      <c r="B122" s="19" t="s">
        <v>85</v>
      </c>
    </row>
    <row r="123" customFormat="false" ht="15" hidden="false" customHeight="false" outlineLevel="0" collapsed="false">
      <c r="A123" s="19" t="s">
        <v>397</v>
      </c>
      <c r="B123" s="19" t="s">
        <v>88</v>
      </c>
    </row>
    <row r="124" customFormat="false" ht="15" hidden="false" customHeight="false" outlineLevel="0" collapsed="false">
      <c r="A124" s="19" t="s">
        <v>398</v>
      </c>
      <c r="B124" s="19" t="s">
        <v>85</v>
      </c>
    </row>
    <row r="125" customFormat="false" ht="15" hidden="false" customHeight="false" outlineLevel="0" collapsed="false">
      <c r="A125" s="19" t="s">
        <v>399</v>
      </c>
      <c r="B125" s="19" t="s">
        <v>85</v>
      </c>
    </row>
    <row r="126" customFormat="false" ht="15" hidden="false" customHeight="false" outlineLevel="0" collapsed="false">
      <c r="A126" s="19" t="s">
        <v>399</v>
      </c>
      <c r="B126" s="19" t="s">
        <v>86</v>
      </c>
    </row>
    <row r="127" customFormat="false" ht="15" hidden="false" customHeight="false" outlineLevel="0" collapsed="false">
      <c r="A127" s="19" t="s">
        <v>399</v>
      </c>
      <c r="B127" s="19" t="s">
        <v>87</v>
      </c>
    </row>
    <row r="128" customFormat="false" ht="15" hidden="false" customHeight="false" outlineLevel="0" collapsed="false">
      <c r="A128" s="19" t="s">
        <v>400</v>
      </c>
      <c r="B128" s="19" t="s">
        <v>85</v>
      </c>
    </row>
    <row r="129" customFormat="false" ht="15" hidden="false" customHeight="false" outlineLevel="0" collapsed="false">
      <c r="A129" s="19" t="s">
        <v>400</v>
      </c>
      <c r="B129" s="19" t="s">
        <v>86</v>
      </c>
    </row>
    <row r="130" customFormat="false" ht="15" hidden="false" customHeight="false" outlineLevel="0" collapsed="false">
      <c r="A130" s="19" t="s">
        <v>401</v>
      </c>
      <c r="B130" s="19" t="s">
        <v>91</v>
      </c>
    </row>
    <row r="131" customFormat="false" ht="15" hidden="false" customHeight="false" outlineLevel="0" collapsed="false">
      <c r="A131" s="19" t="s">
        <v>402</v>
      </c>
      <c r="B131" s="19" t="s">
        <v>85</v>
      </c>
    </row>
    <row r="132" customFormat="false" ht="15" hidden="false" customHeight="false" outlineLevel="0" collapsed="false">
      <c r="A132" s="19" t="s">
        <v>403</v>
      </c>
      <c r="B132" s="19" t="s">
        <v>85</v>
      </c>
    </row>
    <row r="133" customFormat="false" ht="15" hidden="false" customHeight="false" outlineLevel="0" collapsed="false">
      <c r="A133" s="19" t="s">
        <v>404</v>
      </c>
      <c r="B133" s="19" t="s">
        <v>91</v>
      </c>
    </row>
    <row r="134" customFormat="false" ht="15" hidden="false" customHeight="false" outlineLevel="0" collapsed="false">
      <c r="A134" s="19" t="s">
        <v>405</v>
      </c>
      <c r="B134" s="19" t="s">
        <v>85</v>
      </c>
    </row>
    <row r="135" customFormat="false" ht="15" hidden="false" customHeight="false" outlineLevel="0" collapsed="false">
      <c r="A135" s="19" t="s">
        <v>405</v>
      </c>
      <c r="B135" s="19" t="s">
        <v>87</v>
      </c>
    </row>
    <row r="136" customFormat="false" ht="15" hidden="false" customHeight="false" outlineLevel="0" collapsed="false">
      <c r="A136" s="19" t="s">
        <v>406</v>
      </c>
      <c r="B136" s="19" t="s">
        <v>91</v>
      </c>
    </row>
    <row r="137" customFormat="false" ht="15" hidden="false" customHeight="false" outlineLevel="0" collapsed="false">
      <c r="A137" s="19" t="s">
        <v>407</v>
      </c>
      <c r="B137" s="19" t="s">
        <v>85</v>
      </c>
    </row>
    <row r="138" customFormat="false" ht="15" hidden="false" customHeight="false" outlineLevel="0" collapsed="false">
      <c r="A138" s="19" t="s">
        <v>407</v>
      </c>
      <c r="B138" s="19" t="s">
        <v>86</v>
      </c>
    </row>
    <row r="139" customFormat="false" ht="15" hidden="false" customHeight="false" outlineLevel="0" collapsed="false">
      <c r="A139" s="19" t="s">
        <v>408</v>
      </c>
      <c r="B139" s="19" t="s">
        <v>85</v>
      </c>
    </row>
    <row r="140" customFormat="false" ht="15" hidden="false" customHeight="false" outlineLevel="0" collapsed="false">
      <c r="A140" s="19" t="s">
        <v>408</v>
      </c>
      <c r="B140" s="19" t="s">
        <v>89</v>
      </c>
    </row>
    <row r="141" customFormat="false" ht="15" hidden="false" customHeight="false" outlineLevel="0" collapsed="false">
      <c r="A141" s="19" t="s">
        <v>409</v>
      </c>
      <c r="B141" s="19" t="s">
        <v>85</v>
      </c>
    </row>
    <row r="142" customFormat="false" ht="15" hidden="false" customHeight="false" outlineLevel="0" collapsed="false">
      <c r="A142" s="19" t="s">
        <v>409</v>
      </c>
      <c r="B142" s="19" t="s">
        <v>87</v>
      </c>
    </row>
    <row r="143" customFormat="false" ht="15" hidden="false" customHeight="false" outlineLevel="0" collapsed="false">
      <c r="A143" s="19" t="s">
        <v>410</v>
      </c>
      <c r="B143" s="19" t="s">
        <v>85</v>
      </c>
    </row>
    <row r="144" customFormat="false" ht="15" hidden="false" customHeight="false" outlineLevel="0" collapsed="false">
      <c r="A144" s="19" t="s">
        <v>410</v>
      </c>
      <c r="B144" s="19" t="s">
        <v>86</v>
      </c>
    </row>
    <row r="145" customFormat="false" ht="15" hidden="false" customHeight="false" outlineLevel="0" collapsed="false">
      <c r="A145" s="19" t="s">
        <v>410</v>
      </c>
      <c r="B145" s="19" t="s">
        <v>87</v>
      </c>
    </row>
    <row r="146" customFormat="false" ht="15" hidden="false" customHeight="false" outlineLevel="0" collapsed="false">
      <c r="A146" s="19" t="s">
        <v>411</v>
      </c>
      <c r="B146" s="19" t="s">
        <v>85</v>
      </c>
    </row>
    <row r="147" customFormat="false" ht="15" hidden="false" customHeight="false" outlineLevel="0" collapsed="false">
      <c r="A147" s="19" t="s">
        <v>411</v>
      </c>
      <c r="B147" s="19" t="s">
        <v>89</v>
      </c>
    </row>
    <row r="148" customFormat="false" ht="15" hidden="false" customHeight="false" outlineLevel="0" collapsed="false">
      <c r="A148" s="19" t="s">
        <v>412</v>
      </c>
      <c r="B148" s="19" t="s">
        <v>85</v>
      </c>
    </row>
    <row r="149" customFormat="false" ht="15" hidden="false" customHeight="false" outlineLevel="0" collapsed="false">
      <c r="A149" s="19" t="s">
        <v>412</v>
      </c>
      <c r="B149" s="19" t="s">
        <v>86</v>
      </c>
    </row>
    <row r="150" customFormat="false" ht="15" hidden="false" customHeight="false" outlineLevel="0" collapsed="false">
      <c r="A150" s="19" t="s">
        <v>412</v>
      </c>
      <c r="B150" s="19" t="s">
        <v>88</v>
      </c>
    </row>
    <row r="151" customFormat="false" ht="15" hidden="false" customHeight="false" outlineLevel="0" collapsed="false">
      <c r="A151" s="19" t="s">
        <v>413</v>
      </c>
      <c r="B151" s="19" t="s">
        <v>85</v>
      </c>
    </row>
    <row r="152" customFormat="false" ht="15" hidden="false" customHeight="false" outlineLevel="0" collapsed="false">
      <c r="A152" s="19" t="s">
        <v>413</v>
      </c>
      <c r="B152" s="19" t="s">
        <v>89</v>
      </c>
    </row>
    <row r="153" customFormat="false" ht="15" hidden="false" customHeight="false" outlineLevel="0" collapsed="false">
      <c r="A153" s="19" t="s">
        <v>414</v>
      </c>
      <c r="B153" s="19" t="s">
        <v>85</v>
      </c>
    </row>
    <row r="154" customFormat="false" ht="15" hidden="false" customHeight="false" outlineLevel="0" collapsed="false">
      <c r="A154" s="19" t="s">
        <v>414</v>
      </c>
      <c r="B154" s="19" t="s">
        <v>87</v>
      </c>
    </row>
    <row r="155" customFormat="false" ht="15" hidden="false" customHeight="false" outlineLevel="0" collapsed="false">
      <c r="A155" s="19" t="s">
        <v>415</v>
      </c>
      <c r="B155" s="19" t="s">
        <v>85</v>
      </c>
    </row>
    <row r="156" customFormat="false" ht="15" hidden="false" customHeight="false" outlineLevel="0" collapsed="false">
      <c r="A156" s="19" t="s">
        <v>415</v>
      </c>
      <c r="B156" s="19" t="s">
        <v>86</v>
      </c>
    </row>
    <row r="157" customFormat="false" ht="15" hidden="false" customHeight="false" outlineLevel="0" collapsed="false">
      <c r="A157" s="19" t="s">
        <v>415</v>
      </c>
      <c r="B157" s="19" t="s">
        <v>87</v>
      </c>
    </row>
    <row r="158" customFormat="false" ht="15" hidden="false" customHeight="false" outlineLevel="0" collapsed="false">
      <c r="A158" s="19" t="s">
        <v>416</v>
      </c>
      <c r="B158" s="19" t="s">
        <v>85</v>
      </c>
    </row>
    <row r="159" customFormat="false" ht="15" hidden="false" customHeight="false" outlineLevel="0" collapsed="false">
      <c r="A159" s="19" t="s">
        <v>416</v>
      </c>
      <c r="B159" s="19" t="s">
        <v>88</v>
      </c>
    </row>
    <row r="160" customFormat="false" ht="15" hidden="false" customHeight="false" outlineLevel="0" collapsed="false">
      <c r="A160" s="19" t="s">
        <v>417</v>
      </c>
      <c r="B160" s="19" t="s">
        <v>85</v>
      </c>
    </row>
    <row r="161" customFormat="false" ht="15" hidden="false" customHeight="false" outlineLevel="0" collapsed="false">
      <c r="A161" s="19" t="s">
        <v>417</v>
      </c>
      <c r="B161" s="19" t="s">
        <v>90</v>
      </c>
    </row>
    <row r="162" customFormat="false" ht="15" hidden="false" customHeight="false" outlineLevel="0" collapsed="false">
      <c r="A162" s="19" t="s">
        <v>418</v>
      </c>
      <c r="B162" s="19" t="s">
        <v>85</v>
      </c>
    </row>
    <row r="163" customFormat="false" ht="15" hidden="false" customHeight="false" outlineLevel="0" collapsed="false">
      <c r="A163" s="19" t="s">
        <v>419</v>
      </c>
      <c r="B163" s="19" t="s">
        <v>85</v>
      </c>
    </row>
    <row r="164" customFormat="false" ht="15" hidden="false" customHeight="false" outlineLevel="0" collapsed="false">
      <c r="A164" s="19" t="s">
        <v>419</v>
      </c>
      <c r="B164" s="1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36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36"/>
  </cols>
  <sheetData>
    <row r="1" customFormat="false" ht="31.5" hidden="false" customHeight="true" outlineLevel="0" collapsed="false">
      <c r="A1" s="18" t="s">
        <v>213</v>
      </c>
      <c r="B1" s="18" t="s">
        <v>143</v>
      </c>
      <c r="C1" s="18" t="s">
        <v>44</v>
      </c>
      <c r="D1" s="18" t="s">
        <v>420</v>
      </c>
      <c r="E1" s="18" t="s">
        <v>421</v>
      </c>
      <c r="F1" s="18" t="s">
        <v>422</v>
      </c>
      <c r="G1" s="18" t="s">
        <v>423</v>
      </c>
      <c r="H1" s="18" t="s">
        <v>424</v>
      </c>
      <c r="I1" s="18" t="s">
        <v>425</v>
      </c>
      <c r="J1" s="18" t="s">
        <v>426</v>
      </c>
      <c r="K1" s="18" t="s">
        <v>427</v>
      </c>
      <c r="L1" s="18" t="s">
        <v>428</v>
      </c>
      <c r="M1" s="18" t="s">
        <v>429</v>
      </c>
      <c r="N1" s="18" t="s">
        <v>430</v>
      </c>
      <c r="O1" s="18" t="s">
        <v>431</v>
      </c>
      <c r="P1" s="18" t="s">
        <v>432</v>
      </c>
      <c r="Q1" s="18" t="s">
        <v>433</v>
      </c>
      <c r="R1" s="18" t="s">
        <v>324</v>
      </c>
    </row>
    <row r="2" customFormat="false" ht="15" hidden="false" customHeight="false" outlineLevel="0" collapsed="false">
      <c r="A2" s="20" t="n">
        <v>46280</v>
      </c>
      <c r="B2" s="19" t="s">
        <v>148</v>
      </c>
      <c r="C2" s="19" t="n">
        <v>2.2</v>
      </c>
      <c r="D2" s="19" t="n">
        <v>62</v>
      </c>
      <c r="E2" s="19" t="n">
        <v>59</v>
      </c>
      <c r="F2" s="19" t="s">
        <v>330</v>
      </c>
      <c r="G2" s="19" t="n">
        <v>0</v>
      </c>
      <c r="H2" s="19" t="n">
        <v>0</v>
      </c>
      <c r="I2" s="19" t="s">
        <v>331</v>
      </c>
      <c r="J2" s="19"/>
      <c r="K2" s="22" t="n">
        <f aca="false">SUMIFS(Cooking_Sessions!$T$2:$T$80,Cooking_Sessions!$B$2:$B$80,A2,Cooking_Sessions!$L$2:$L$80,"&lt;&gt;Generator")</f>
        <v>2.3</v>
      </c>
      <c r="L2" s="22" t="n">
        <f aca="false">ROUND(Config!$B$3*Config!$B$6*INDEX(Weather_Factors!$B$2:$B$6,MATCH(B2,Weather_Factors!$A$2:$A$6,0))*Config!$B$5,2)</f>
        <v>2.7</v>
      </c>
      <c r="M2" s="24" t="n">
        <f aca="false">IFERROR(C2/L2,0)</f>
        <v>0.814814814814815</v>
      </c>
      <c r="N2" s="22" t="n">
        <f aca="false">ROUND((E2-D2)/100*Config!$B$4,2)</f>
        <v>-0.3</v>
      </c>
      <c r="O2" s="22" t="n">
        <f aca="false">ROUND(C2-K2-N2,2)</f>
        <v>0.2</v>
      </c>
      <c r="P2" s="24" t="n">
        <f aca="false">IFERROR(O2/C2,0)</f>
        <v>0.0909090909090909</v>
      </c>
      <c r="Q2" s="22" t="n">
        <f aca="false">ROUND(L2/Config!$B$11*H2,2)</f>
        <v>0</v>
      </c>
      <c r="R2" s="19"/>
    </row>
    <row r="3" customFormat="false" ht="15" hidden="false" customHeight="false" outlineLevel="0" collapsed="false">
      <c r="A3" s="20" t="n">
        <v>46281</v>
      </c>
      <c r="B3" s="19" t="s">
        <v>147</v>
      </c>
      <c r="C3" s="19" t="n">
        <v>4</v>
      </c>
      <c r="D3" s="19" t="n">
        <v>55</v>
      </c>
      <c r="E3" s="19" t="n">
        <v>65</v>
      </c>
      <c r="F3" s="19" t="s">
        <v>330</v>
      </c>
      <c r="G3" s="19" t="n">
        <v>2</v>
      </c>
      <c r="H3" s="19" t="n">
        <v>0.5</v>
      </c>
      <c r="I3" s="19" t="s">
        <v>331</v>
      </c>
      <c r="J3" s="19"/>
      <c r="K3" s="22" t="n">
        <f aca="false">SUMIFS(Cooking_Sessions!$T$2:$T$80,Cooking_Sessions!$B$2:$B$80,A3,Cooking_Sessions!$L$2:$L$80,"&lt;&gt;Generator")</f>
        <v>2.6</v>
      </c>
      <c r="L3" s="22" t="n">
        <f aca="false">ROUND(Config!$B$3*Config!$B$6*INDEX(Weather_Factors!$B$2:$B$6,MATCH(B3,Weather_Factors!$A$2:$A$6,0))*Config!$B$5,2)</f>
        <v>4.73</v>
      </c>
      <c r="M3" s="24" t="n">
        <f aca="false">IFERROR(C3/L3,0)</f>
        <v>0.845665961945032</v>
      </c>
      <c r="N3" s="22" t="n">
        <f aca="false">ROUND((E3-D3)/100*Config!$B$4,2)</f>
        <v>1</v>
      </c>
      <c r="O3" s="22" t="n">
        <f aca="false">ROUND(C3-K3-N3,2)</f>
        <v>0.4</v>
      </c>
      <c r="P3" s="24" t="n">
        <f aca="false">IFERROR(O3/C3,0)</f>
        <v>0.1</v>
      </c>
      <c r="Q3" s="22" t="n">
        <f aca="false">ROUND(L3/Config!$B$11*H3,2)</f>
        <v>0.24</v>
      </c>
      <c r="R3" s="19" t="s">
        <v>434</v>
      </c>
    </row>
    <row r="4" customFormat="false" ht="15" hidden="false" customHeight="false" outlineLevel="0" collapsed="false">
      <c r="A4" s="20" t="n">
        <v>46282</v>
      </c>
      <c r="B4" s="19" t="s">
        <v>146</v>
      </c>
      <c r="C4" s="19" t="n">
        <v>8.2</v>
      </c>
      <c r="D4" s="19" t="n">
        <v>61</v>
      </c>
      <c r="E4" s="19" t="n">
        <v>96</v>
      </c>
      <c r="F4" s="19" t="s">
        <v>330</v>
      </c>
      <c r="G4" s="19" t="n">
        <v>0</v>
      </c>
      <c r="H4" s="19" t="n">
        <v>0</v>
      </c>
      <c r="I4" s="19" t="s">
        <v>331</v>
      </c>
      <c r="J4" s="19"/>
      <c r="K4" s="22" t="n">
        <f aca="false">SUMIFS(Cooking_Sessions!$T$2:$T$80,Cooking_Sessions!$B$2:$B$80,A4,Cooking_Sessions!$L$2:$L$80,"&lt;&gt;Generator")</f>
        <v>3.9</v>
      </c>
      <c r="L4" s="22" t="n">
        <f aca="false">ROUND(Config!$B$3*Config!$B$6*INDEX(Weather_Factors!$B$2:$B$6,MATCH(B4,Weather_Factors!$A$2:$A$6,0))*Config!$B$5,2)</f>
        <v>8.78</v>
      </c>
      <c r="M4" s="24" t="n">
        <f aca="false">IFERROR(C4/L4,0)</f>
        <v>0.933940774487472</v>
      </c>
      <c r="N4" s="22" t="n">
        <f aca="false">ROUND((E4-D4)/100*Config!$B$4,2)</f>
        <v>3.5</v>
      </c>
      <c r="O4" s="22" t="n">
        <f aca="false">ROUND(C4-K4-N4,2)</f>
        <v>0.8</v>
      </c>
      <c r="P4" s="24" t="n">
        <f aca="false">IFERROR(O4/C4,0)</f>
        <v>0.0975609756097561</v>
      </c>
      <c r="Q4" s="22" t="n">
        <f aca="false">ROUND(L4/Config!$B$11*H4,2)</f>
        <v>0</v>
      </c>
      <c r="R4" s="19"/>
    </row>
    <row r="5" customFormat="false" ht="15" hidden="false" customHeight="false" outlineLevel="0" collapsed="false">
      <c r="A5" s="20" t="n">
        <v>46283</v>
      </c>
      <c r="B5" s="19" t="s">
        <v>145</v>
      </c>
      <c r="C5" s="19" t="n">
        <v>11.4</v>
      </c>
      <c r="D5" s="19" t="n">
        <v>92</v>
      </c>
      <c r="E5" s="19" t="n">
        <v>100</v>
      </c>
      <c r="F5" s="19" t="s">
        <v>330</v>
      </c>
      <c r="G5" s="19" t="n">
        <v>0</v>
      </c>
      <c r="H5" s="19" t="n">
        <v>0</v>
      </c>
      <c r="I5" s="19" t="s">
        <v>331</v>
      </c>
      <c r="J5" s="19"/>
      <c r="K5" s="22" t="n">
        <f aca="false">SUMIFS(Cooking_Sessions!$T$2:$T$80,Cooking_Sessions!$B$2:$B$80,A5,Cooking_Sessions!$L$2:$L$80,"&lt;&gt;Generator")</f>
        <v>6.7</v>
      </c>
      <c r="L5" s="22" t="n">
        <f aca="false">ROUND(Config!$B$3*Config!$B$6*INDEX(Weather_Factors!$B$2:$B$6,MATCH(B5,Weather_Factors!$A$2:$A$6,0))*Config!$B$5,2)</f>
        <v>13.5</v>
      </c>
      <c r="M5" s="24" t="n">
        <f aca="false">IFERROR(C5/L5,0)</f>
        <v>0.844444444444444</v>
      </c>
      <c r="N5" s="22" t="n">
        <f aca="false">ROUND((E5-D5)/100*Config!$B$4,2)</f>
        <v>0.8</v>
      </c>
      <c r="O5" s="22" t="n">
        <f aca="false">ROUND(C5-K5-N5,2)</f>
        <v>3.9</v>
      </c>
      <c r="P5" s="24" t="n">
        <f aca="false">IFERROR(O5/C5,0)</f>
        <v>0.342105263157895</v>
      </c>
      <c r="Q5" s="22" t="n">
        <f aca="false">ROUND(L5/Config!$B$11*H5,2)</f>
        <v>0</v>
      </c>
      <c r="R5" s="19"/>
    </row>
    <row r="6" customFormat="false" ht="15" hidden="false" customHeight="false" outlineLevel="0" collapsed="false">
      <c r="A6" s="20" t="n">
        <v>46284</v>
      </c>
      <c r="B6" s="19" t="s">
        <v>145</v>
      </c>
      <c r="C6" s="19" t="n">
        <v>12.6</v>
      </c>
      <c r="D6" s="19" t="n">
        <v>96</v>
      </c>
      <c r="E6" s="19" t="n">
        <v>100</v>
      </c>
      <c r="F6" s="19" t="s">
        <v>330</v>
      </c>
      <c r="G6" s="19" t="n">
        <v>0</v>
      </c>
      <c r="H6" s="19" t="n">
        <v>0</v>
      </c>
      <c r="I6" s="19" t="s">
        <v>331</v>
      </c>
      <c r="J6" s="19"/>
      <c r="K6" s="22" t="n">
        <f aca="false">SUMIFS(Cooking_Sessions!$T$2:$T$80,Cooking_Sessions!$B$2:$B$80,A6,Cooking_Sessions!$L$2:$L$80,"&lt;&gt;Generator")</f>
        <v>4.15</v>
      </c>
      <c r="L6" s="22" t="n">
        <f aca="false">ROUND(Config!$B$3*Config!$B$6*INDEX(Weather_Factors!$B$2:$B$6,MATCH(B6,Weather_Factors!$A$2:$A$6,0))*Config!$B$5,2)</f>
        <v>13.5</v>
      </c>
      <c r="M6" s="24" t="n">
        <f aca="false">IFERROR(C6/L6,0)</f>
        <v>0.933333333333333</v>
      </c>
      <c r="N6" s="22" t="n">
        <f aca="false">ROUND((E6-D6)/100*Config!$B$4,2)</f>
        <v>0.4</v>
      </c>
      <c r="O6" s="22" t="n">
        <f aca="false">ROUND(C6-K6-N6,2)</f>
        <v>8.05</v>
      </c>
      <c r="P6" s="24" t="n">
        <f aca="false">IFERROR(O6/C6,0)</f>
        <v>0.638888888888889</v>
      </c>
      <c r="Q6" s="22" t="n">
        <f aca="false">ROUND(L6/Config!$B$11*H6,2)</f>
        <v>0</v>
      </c>
      <c r="R6" s="19"/>
    </row>
    <row r="7" customFormat="false" ht="15" hidden="false" customHeight="false" outlineLevel="0" collapsed="false">
      <c r="A7" s="20" t="n">
        <v>46285</v>
      </c>
      <c r="B7" s="19" t="s">
        <v>146</v>
      </c>
      <c r="C7" s="19" t="n">
        <v>7.4</v>
      </c>
      <c r="D7" s="19" t="n">
        <v>96</v>
      </c>
      <c r="E7" s="19" t="n">
        <v>100</v>
      </c>
      <c r="F7" s="19" t="s">
        <v>330</v>
      </c>
      <c r="G7" s="19" t="n">
        <v>0</v>
      </c>
      <c r="H7" s="19" t="n">
        <v>0</v>
      </c>
      <c r="I7" s="19" t="s">
        <v>331</v>
      </c>
      <c r="J7" s="19"/>
      <c r="K7" s="22" t="n">
        <f aca="false">SUMIFS(Cooking_Sessions!$T$2:$T$80,Cooking_Sessions!$B$2:$B$80,A7,Cooking_Sessions!$L$2:$L$80,"&lt;&gt;Generator")</f>
        <v>4.55</v>
      </c>
      <c r="L7" s="22" t="n">
        <f aca="false">ROUND(Config!$B$3*Config!$B$6*INDEX(Weather_Factors!$B$2:$B$6,MATCH(B7,Weather_Factors!$A$2:$A$6,0))*Config!$B$5,2)</f>
        <v>8.78</v>
      </c>
      <c r="M7" s="24" t="n">
        <f aca="false">IFERROR(C7/L7,0)</f>
        <v>0.842824601366743</v>
      </c>
      <c r="N7" s="22" t="n">
        <f aca="false">ROUND((E7-D7)/100*Config!$B$4,2)</f>
        <v>0.4</v>
      </c>
      <c r="O7" s="22" t="n">
        <f aca="false">ROUND(C7-K7-N7,2)</f>
        <v>2.45</v>
      </c>
      <c r="P7" s="24" t="n">
        <f aca="false">IFERROR(O7/C7,0)</f>
        <v>0.331081081081081</v>
      </c>
      <c r="Q7" s="22" t="n">
        <f aca="false">ROUND(L7/Config!$B$11*H7,2)</f>
        <v>0</v>
      </c>
      <c r="R7" s="19"/>
    </row>
    <row r="8" customFormat="false" ht="15" hidden="false" customHeight="false" outlineLevel="0" collapsed="false">
      <c r="A8" s="20" t="n">
        <v>46286</v>
      </c>
      <c r="B8" s="19" t="s">
        <v>147</v>
      </c>
      <c r="C8" s="19" t="n">
        <v>4.3</v>
      </c>
      <c r="D8" s="19" t="n">
        <v>96</v>
      </c>
      <c r="E8" s="19" t="n">
        <v>95</v>
      </c>
      <c r="F8" s="19" t="s">
        <v>330</v>
      </c>
      <c r="G8" s="19" t="n">
        <v>0</v>
      </c>
      <c r="H8" s="19" t="n">
        <v>0</v>
      </c>
      <c r="I8" s="19" t="s">
        <v>331</v>
      </c>
      <c r="J8" s="19"/>
      <c r="K8" s="22" t="n">
        <f aca="false">SUMIFS(Cooking_Sessions!$T$2:$T$80,Cooking_Sessions!$B$2:$B$80,A8,Cooking_Sessions!$L$2:$L$80,"&lt;&gt;Generator")</f>
        <v>3.97</v>
      </c>
      <c r="L8" s="22" t="n">
        <f aca="false">ROUND(Config!$B$3*Config!$B$6*INDEX(Weather_Factors!$B$2:$B$6,MATCH(B8,Weather_Factors!$A$2:$A$6,0))*Config!$B$5,2)</f>
        <v>4.73</v>
      </c>
      <c r="M8" s="24" t="n">
        <f aca="false">IFERROR(C8/L8,0)</f>
        <v>0.909090909090909</v>
      </c>
      <c r="N8" s="22" t="n">
        <f aca="false">ROUND((E8-D8)/100*Config!$B$4,2)</f>
        <v>-0.1</v>
      </c>
      <c r="O8" s="22" t="n">
        <f aca="false">ROUND(C8-K8-N8,2)</f>
        <v>0.43</v>
      </c>
      <c r="P8" s="24" t="n">
        <f aca="false">IFERROR(O8/C8,0)</f>
        <v>0.1</v>
      </c>
      <c r="Q8" s="22" t="n">
        <f aca="false">ROUND(L8/Config!$B$11*H8,2)</f>
        <v>0</v>
      </c>
      <c r="R8" s="19"/>
    </row>
    <row r="9" customFormat="false" ht="15" hidden="false" customHeight="false" outlineLevel="0" collapsed="false">
      <c r="A9" s="20" t="n">
        <v>46287</v>
      </c>
      <c r="B9" s="19" t="s">
        <v>149</v>
      </c>
      <c r="C9" s="19" t="n">
        <v>1.1</v>
      </c>
      <c r="D9" s="19" t="n">
        <v>91</v>
      </c>
      <c r="E9" s="19" t="n">
        <v>88</v>
      </c>
      <c r="F9" s="19" t="s">
        <v>331</v>
      </c>
      <c r="G9" s="19" t="n">
        <v>2</v>
      </c>
      <c r="H9" s="19" t="n">
        <v>3.5</v>
      </c>
      <c r="I9" s="19" t="s">
        <v>331</v>
      </c>
      <c r="J9" s="19"/>
      <c r="K9" s="22" t="n">
        <f aca="false">SUMIFS(Cooking_Sessions!$T$2:$T$80,Cooking_Sessions!$B$2:$B$80,A9,Cooking_Sessions!$L$2:$L$80,"&lt;&gt;Generator")</f>
        <v>1.3</v>
      </c>
      <c r="L9" s="22" t="n">
        <f aca="false">ROUND(Config!$B$3*Config!$B$6*INDEX(Weather_Factors!$B$2:$B$6,MATCH(B9,Weather_Factors!$A$2:$A$6,0))*Config!$B$5,2)</f>
        <v>1.35</v>
      </c>
      <c r="M9" s="24" t="n">
        <f aca="false">IFERROR(C9/L9,0)</f>
        <v>0.814814814814815</v>
      </c>
      <c r="N9" s="22" t="n">
        <f aca="false">ROUND((E9-D9)/100*Config!$B$4,2)</f>
        <v>-0.3</v>
      </c>
      <c r="O9" s="22" t="n">
        <f aca="false">ROUND(C9-K9-N9,2)</f>
        <v>0.1</v>
      </c>
      <c r="P9" s="24" t="n">
        <f aca="false">IFERROR(O9/C9,0)</f>
        <v>0.0909090909090909</v>
      </c>
      <c r="Q9" s="22" t="n">
        <f aca="false">ROUND(L9/Config!$B$11*H9,2)</f>
        <v>0.47</v>
      </c>
      <c r="R9" s="19" t="s">
        <v>435</v>
      </c>
    </row>
    <row r="10" customFormat="false" ht="15" hidden="false" customHeight="false" outlineLevel="0" collapsed="false">
      <c r="A10" s="20" t="n">
        <v>46288</v>
      </c>
      <c r="B10" s="19" t="s">
        <v>148</v>
      </c>
      <c r="C10" s="19" t="n">
        <v>2.6</v>
      </c>
      <c r="D10" s="19" t="n">
        <v>84</v>
      </c>
      <c r="E10" s="19" t="n">
        <v>83</v>
      </c>
      <c r="F10" s="19" t="s">
        <v>330</v>
      </c>
      <c r="G10" s="19" t="n">
        <v>0</v>
      </c>
      <c r="H10" s="19" t="n">
        <v>0</v>
      </c>
      <c r="I10" s="19" t="s">
        <v>331</v>
      </c>
      <c r="J10" s="19"/>
      <c r="K10" s="22" t="n">
        <f aca="false">SUMIFS(Cooking_Sessions!$T$2:$T$80,Cooking_Sessions!$B$2:$B$80,A10,Cooking_Sessions!$L$2:$L$80,"&lt;&gt;Generator")</f>
        <v>2.4</v>
      </c>
      <c r="L10" s="22" t="n">
        <f aca="false">ROUND(Config!$B$3*Config!$B$6*INDEX(Weather_Factors!$B$2:$B$6,MATCH(B10,Weather_Factors!$A$2:$A$6,0))*Config!$B$5,2)</f>
        <v>2.7</v>
      </c>
      <c r="M10" s="24" t="n">
        <f aca="false">IFERROR(C10/L10,0)</f>
        <v>0.962962962962963</v>
      </c>
      <c r="N10" s="22" t="n">
        <f aca="false">ROUND((E10-D10)/100*Config!$B$4,2)</f>
        <v>-0.1</v>
      </c>
      <c r="O10" s="22" t="n">
        <f aca="false">ROUND(C10-K10-N10,2)</f>
        <v>0.3</v>
      </c>
      <c r="P10" s="24" t="n">
        <f aca="false">IFERROR(O10/C10,0)</f>
        <v>0.115384615384615</v>
      </c>
      <c r="Q10" s="22" t="n">
        <f aca="false">ROUND(L10/Config!$B$11*H10,2)</f>
        <v>0</v>
      </c>
      <c r="R10" s="19"/>
    </row>
    <row r="11" customFormat="false" ht="15" hidden="false" customHeight="false" outlineLevel="0" collapsed="false">
      <c r="A11" s="20" t="n">
        <v>46289</v>
      </c>
      <c r="B11" s="19" t="s">
        <v>146</v>
      </c>
      <c r="C11" s="19" t="n">
        <v>5.7</v>
      </c>
      <c r="D11" s="19" t="n">
        <v>79</v>
      </c>
      <c r="E11" s="19" t="n">
        <v>70</v>
      </c>
      <c r="F11" s="19" t="s">
        <v>330</v>
      </c>
      <c r="G11" s="19" t="n">
        <v>0</v>
      </c>
      <c r="H11" s="19" t="n">
        <v>0</v>
      </c>
      <c r="I11" s="19" t="s">
        <v>331</v>
      </c>
      <c r="J11" s="19"/>
      <c r="K11" s="22" t="n">
        <f aca="false">SUMIFS(Cooking_Sessions!$T$2:$T$80,Cooking_Sessions!$B$2:$B$80,A11,Cooking_Sessions!$L$2:$L$80,"&lt;&gt;Generator")</f>
        <v>6</v>
      </c>
      <c r="L11" s="22" t="n">
        <f aca="false">ROUND(Config!$B$3*Config!$B$6*INDEX(Weather_Factors!$B$2:$B$6,MATCH(B11,Weather_Factors!$A$2:$A$6,0))*Config!$B$5,2)</f>
        <v>8.78</v>
      </c>
      <c r="M11" s="24" t="n">
        <f aca="false">IFERROR(C11/L11,0)</f>
        <v>0.649202733485194</v>
      </c>
      <c r="N11" s="22" t="n">
        <f aca="false">ROUND((E11-D11)/100*Config!$B$4,2)</f>
        <v>-0.9</v>
      </c>
      <c r="O11" s="22" t="n">
        <f aca="false">ROUND(C11-K11-N11,2)</f>
        <v>0.6</v>
      </c>
      <c r="P11" s="24" t="n">
        <f aca="false">IFERROR(O11/C11,0)</f>
        <v>0.105263157894737</v>
      </c>
      <c r="Q11" s="22" t="n">
        <f aca="false">ROUND(L11/Config!$B$11*H11,2)</f>
        <v>0</v>
      </c>
      <c r="R11" s="19" t="s">
        <v>436</v>
      </c>
    </row>
    <row r="12" customFormat="false" ht="15" hidden="false" customHeight="false" outlineLevel="0" collapsed="false">
      <c r="A12" s="20" t="n">
        <v>46290</v>
      </c>
      <c r="B12" s="19" t="s">
        <v>145</v>
      </c>
      <c r="C12" s="19" t="n">
        <v>11.8</v>
      </c>
      <c r="D12" s="19" t="n">
        <v>66</v>
      </c>
      <c r="E12" s="19" t="n">
        <v>100</v>
      </c>
      <c r="F12" s="19" t="s">
        <v>330</v>
      </c>
      <c r="G12" s="19" t="n">
        <v>0</v>
      </c>
      <c r="H12" s="19" t="n">
        <v>0</v>
      </c>
      <c r="I12" s="19" t="s">
        <v>330</v>
      </c>
      <c r="J12" s="19" t="s">
        <v>437</v>
      </c>
      <c r="K12" s="22" t="n">
        <f aca="false">SUMIFS(Cooking_Sessions!$T$2:$T$80,Cooking_Sessions!$B$2:$B$80,A12,Cooking_Sessions!$L$2:$L$80,"&lt;&gt;Generator")</f>
        <v>2.23</v>
      </c>
      <c r="L12" s="22" t="n">
        <f aca="false">ROUND(Config!$B$3*Config!$B$6*INDEX(Weather_Factors!$B$2:$B$6,MATCH(B12,Weather_Factors!$A$2:$A$6,0))*Config!$B$5,2)</f>
        <v>13.5</v>
      </c>
      <c r="M12" s="24" t="n">
        <f aca="false">IFERROR(C12/L12,0)</f>
        <v>0.874074074074074</v>
      </c>
      <c r="N12" s="22" t="n">
        <f aca="false">ROUND((E12-D12)/100*Config!$B$4,2)</f>
        <v>3.4</v>
      </c>
      <c r="O12" s="22" t="n">
        <f aca="false">ROUND(C12-K12-N12,2)</f>
        <v>6.17</v>
      </c>
      <c r="P12" s="24" t="n">
        <f aca="false">IFERROR(O12/C12,0)</f>
        <v>0.522881355932203</v>
      </c>
      <c r="Q12" s="22" t="n">
        <f aca="false">ROUND(L12/Config!$B$11*H12,2)</f>
        <v>0</v>
      </c>
      <c r="R12" s="19"/>
    </row>
    <row r="13" customFormat="false" ht="15" hidden="false" customHeight="false" outlineLevel="0" collapsed="false">
      <c r="A13" s="20" t="n">
        <v>46291</v>
      </c>
      <c r="B13" s="19" t="s">
        <v>145</v>
      </c>
      <c r="C13" s="19" t="n">
        <v>13.1</v>
      </c>
      <c r="D13" s="19" t="n">
        <v>96</v>
      </c>
      <c r="E13" s="19" t="n">
        <v>100</v>
      </c>
      <c r="F13" s="19" t="s">
        <v>330</v>
      </c>
      <c r="G13" s="19" t="n">
        <v>0</v>
      </c>
      <c r="H13" s="19" t="n">
        <v>0</v>
      </c>
      <c r="I13" s="19" t="s">
        <v>331</v>
      </c>
      <c r="J13" s="19"/>
      <c r="K13" s="22" t="n">
        <f aca="false">SUMIFS(Cooking_Sessions!$T$2:$T$80,Cooking_Sessions!$B$2:$B$80,A13,Cooking_Sessions!$L$2:$L$80,"&lt;&gt;Generator")</f>
        <v>3.48</v>
      </c>
      <c r="L13" s="22" t="n">
        <f aca="false">ROUND(Config!$B$3*Config!$B$6*INDEX(Weather_Factors!$B$2:$B$6,MATCH(B13,Weather_Factors!$A$2:$A$6,0))*Config!$B$5,2)</f>
        <v>13.5</v>
      </c>
      <c r="M13" s="24" t="n">
        <f aca="false">IFERROR(C13/L13,0)</f>
        <v>0.97037037037037</v>
      </c>
      <c r="N13" s="22" t="n">
        <f aca="false">ROUND((E13-D13)/100*Config!$B$4,2)</f>
        <v>0.4</v>
      </c>
      <c r="O13" s="22" t="n">
        <f aca="false">ROUND(C13-K13-N13,2)</f>
        <v>9.22</v>
      </c>
      <c r="P13" s="24" t="n">
        <f aca="false">IFERROR(O13/C13,0)</f>
        <v>0.70381679389313</v>
      </c>
      <c r="Q13" s="22" t="n">
        <f aca="false">ROUND(L13/Config!$B$11*H13,2)</f>
        <v>0</v>
      </c>
      <c r="R13" s="19"/>
    </row>
    <row r="14" customFormat="false" ht="15" hidden="false" customHeight="false" outlineLevel="0" collapsed="false">
      <c r="A14" s="20" t="n">
        <v>46292</v>
      </c>
      <c r="B14" s="19" t="s">
        <v>146</v>
      </c>
      <c r="C14" s="19" t="n">
        <v>7.5</v>
      </c>
      <c r="D14" s="19" t="n">
        <v>96</v>
      </c>
      <c r="E14" s="19" t="n">
        <v>100</v>
      </c>
      <c r="F14" s="19" t="s">
        <v>330</v>
      </c>
      <c r="G14" s="19" t="n">
        <v>0</v>
      </c>
      <c r="H14" s="19" t="n">
        <v>0</v>
      </c>
      <c r="I14" s="19" t="s">
        <v>331</v>
      </c>
      <c r="J14" s="19"/>
      <c r="K14" s="22" t="n">
        <f aca="false">SUMIFS(Cooking_Sessions!$T$2:$T$80,Cooking_Sessions!$B$2:$B$80,A14,Cooking_Sessions!$L$2:$L$80,"&lt;&gt;Generator")</f>
        <v>4.7</v>
      </c>
      <c r="L14" s="22" t="n">
        <f aca="false">ROUND(Config!$B$3*Config!$B$6*INDEX(Weather_Factors!$B$2:$B$6,MATCH(B14,Weather_Factors!$A$2:$A$6,0))*Config!$B$5,2)</f>
        <v>8.78</v>
      </c>
      <c r="M14" s="24" t="n">
        <f aca="false">IFERROR(C14/L14,0)</f>
        <v>0.854214123006834</v>
      </c>
      <c r="N14" s="22" t="n">
        <f aca="false">ROUND((E14-D14)/100*Config!$B$4,2)</f>
        <v>0.4</v>
      </c>
      <c r="O14" s="22" t="n">
        <f aca="false">ROUND(C14-K14-N14,2)</f>
        <v>2.4</v>
      </c>
      <c r="P14" s="24" t="n">
        <f aca="false">IFERROR(O14/C14,0)</f>
        <v>0.32</v>
      </c>
      <c r="Q14" s="22" t="n">
        <f aca="false">ROUND(L14/Config!$B$11*H14,2)</f>
        <v>0</v>
      </c>
      <c r="R14" s="19"/>
    </row>
    <row r="15" customFormat="false" ht="15" hidden="false" customHeight="false" outlineLevel="0" collapsed="false">
      <c r="A15" s="20" t="n">
        <v>46293</v>
      </c>
      <c r="B15" s="19" t="s">
        <v>147</v>
      </c>
      <c r="C15" s="19" t="n">
        <v>4.2</v>
      </c>
      <c r="D15" s="19" t="n">
        <v>96</v>
      </c>
      <c r="E15" s="19" t="n">
        <v>85</v>
      </c>
      <c r="F15" s="19" t="s">
        <v>330</v>
      </c>
      <c r="G15" s="19" t="n">
        <v>0</v>
      </c>
      <c r="H15" s="19" t="n">
        <v>0</v>
      </c>
      <c r="I15" s="19" t="s">
        <v>331</v>
      </c>
      <c r="J15" s="19"/>
      <c r="K15" s="22" t="n">
        <f aca="false">SUMIFS(Cooking_Sessions!$T$2:$T$80,Cooking_Sessions!$B$2:$B$80,A15,Cooking_Sessions!$L$2:$L$80,"&lt;&gt;Generator")</f>
        <v>4.85</v>
      </c>
      <c r="L15" s="22" t="n">
        <f aca="false">ROUND(Config!$B$3*Config!$B$6*INDEX(Weather_Factors!$B$2:$B$6,MATCH(B15,Weather_Factors!$A$2:$A$6,0))*Config!$B$5,2)</f>
        <v>4.73</v>
      </c>
      <c r="M15" s="24" t="n">
        <f aca="false">IFERROR(C15/L15,0)</f>
        <v>0.887949260042283</v>
      </c>
      <c r="N15" s="22" t="n">
        <f aca="false">ROUND((E15-D15)/100*Config!$B$4,2)</f>
        <v>-1.1</v>
      </c>
      <c r="O15" s="22" t="n">
        <f aca="false">ROUND(C15-K15-N15,2)</f>
        <v>0.45</v>
      </c>
      <c r="P15" s="24" t="n">
        <f aca="false">IFERROR(O15/C15,0)</f>
        <v>0.107142857142857</v>
      </c>
      <c r="Q15" s="22" t="n">
        <f aca="false">ROUND(L15/Config!$B$11*H15,2)</f>
        <v>0</v>
      </c>
      <c r="R1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8" t="s">
        <v>213</v>
      </c>
      <c r="B1" s="18" t="s">
        <v>438</v>
      </c>
      <c r="C1" s="18" t="s">
        <v>439</v>
      </c>
      <c r="D1" s="18" t="s">
        <v>440</v>
      </c>
      <c r="E1" s="18" t="s">
        <v>441</v>
      </c>
      <c r="F1" s="18" t="s">
        <v>442</v>
      </c>
      <c r="G1" s="18" t="s">
        <v>443</v>
      </c>
      <c r="H1" s="18" t="s">
        <v>324</v>
      </c>
      <c r="I1" s="18" t="s">
        <v>444</v>
      </c>
    </row>
    <row r="2" customFormat="false" ht="15" hidden="false" customHeight="false" outlineLevel="0" collapsed="false">
      <c r="A2" s="20" t="n">
        <v>46280</v>
      </c>
      <c r="B2" s="19" t="n">
        <v>20</v>
      </c>
      <c r="C2" s="19" t="n">
        <v>0</v>
      </c>
      <c r="D2" s="19" t="n">
        <v>14.8</v>
      </c>
      <c r="E2" s="19" t="n">
        <v>4</v>
      </c>
      <c r="F2" s="19" t="s">
        <v>331</v>
      </c>
      <c r="G2" s="19"/>
      <c r="H2" s="19"/>
      <c r="I2" s="22" t="n">
        <f aca="false">ROUND(B2+C2-D2,1)</f>
        <v>5.2</v>
      </c>
    </row>
    <row r="3" customFormat="false" ht="15" hidden="false" customHeight="false" outlineLevel="0" collapsed="false">
      <c r="A3" s="20" t="n">
        <v>46281</v>
      </c>
      <c r="B3" s="19" t="n">
        <v>14.8</v>
      </c>
      <c r="C3" s="19" t="n">
        <v>0</v>
      </c>
      <c r="D3" s="19" t="n">
        <v>8.9</v>
      </c>
      <c r="E3" s="19" t="n">
        <v>4.5</v>
      </c>
      <c r="F3" s="19" t="s">
        <v>331</v>
      </c>
      <c r="G3" s="19"/>
      <c r="H3" s="19"/>
      <c r="I3" s="22" t="n">
        <f aca="false">ROUND(B3+C3-D3,1)</f>
        <v>5.9</v>
      </c>
    </row>
    <row r="4" customFormat="false" ht="15" hidden="false" customHeight="false" outlineLevel="0" collapsed="false">
      <c r="A4" s="20" t="n">
        <v>46286</v>
      </c>
      <c r="B4" s="19" t="n">
        <v>8.9</v>
      </c>
      <c r="C4" s="19" t="n">
        <v>15</v>
      </c>
      <c r="D4" s="19" t="n">
        <v>18</v>
      </c>
      <c r="E4" s="19" t="n">
        <v>4.5</v>
      </c>
      <c r="F4" s="19" t="s">
        <v>331</v>
      </c>
      <c r="G4" s="19"/>
      <c r="H4" s="19"/>
      <c r="I4" s="22" t="n">
        <f aca="false">ROUND(B4+C4-D4,1)</f>
        <v>5.9</v>
      </c>
    </row>
    <row r="5" customFormat="false" ht="15" hidden="false" customHeight="false" outlineLevel="0" collapsed="false">
      <c r="A5" s="20" t="n">
        <v>46287</v>
      </c>
      <c r="B5" s="19" t="n">
        <v>18</v>
      </c>
      <c r="C5" s="19" t="n">
        <v>0</v>
      </c>
      <c r="D5" s="19" t="n">
        <v>12.8</v>
      </c>
      <c r="E5" s="19" t="n">
        <v>4</v>
      </c>
      <c r="F5" s="19" t="s">
        <v>330</v>
      </c>
      <c r="G5" s="19" t="s">
        <v>445</v>
      </c>
      <c r="H5" s="19" t="s">
        <v>446</v>
      </c>
      <c r="I5" s="22" t="n">
        <f aca="false">ROUND(B5+C5-D5,1)</f>
        <v>5.2</v>
      </c>
    </row>
    <row r="6" customFormat="false" ht="15" hidden="false" customHeight="false" outlineLevel="0" collapsed="false">
      <c r="A6" s="20" t="n">
        <v>46288</v>
      </c>
      <c r="B6" s="19" t="n">
        <v>12.8</v>
      </c>
      <c r="C6" s="19" t="n">
        <v>0</v>
      </c>
      <c r="D6" s="19" t="n">
        <v>7.6</v>
      </c>
      <c r="E6" s="19" t="n">
        <v>4</v>
      </c>
      <c r="F6" s="19" t="s">
        <v>331</v>
      </c>
      <c r="G6" s="19"/>
      <c r="H6" s="19"/>
      <c r="I6" s="22" t="n">
        <f aca="false">ROUND(B6+C6-D6,1)</f>
        <v>5.2</v>
      </c>
    </row>
    <row r="7" customFormat="false" ht="15" hidden="false" customHeight="false" outlineLevel="0" collapsed="false">
      <c r="A7" s="20" t="n">
        <v>46293</v>
      </c>
      <c r="B7" s="19" t="n">
        <v>7.6</v>
      </c>
      <c r="C7" s="19" t="n">
        <v>15</v>
      </c>
      <c r="D7" s="19" t="n">
        <v>16.7</v>
      </c>
      <c r="E7" s="19" t="n">
        <v>4.5</v>
      </c>
      <c r="F7" s="19" t="s">
        <v>331</v>
      </c>
      <c r="G7" s="19"/>
      <c r="H7" s="19"/>
      <c r="I7" s="22" t="n">
        <f aca="false">ROUND(B7+C7-D7,1)</f>
        <v>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9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3" min="13" style="0" width="16"/>
    <col collapsed="false" customWidth="true" hidden="false" outlineLevel="0" max="15" min="14" style="0" width="10"/>
    <col collapsed="false" customWidth="true" hidden="false" outlineLevel="0" max="16" min="16" style="0" width="34"/>
  </cols>
  <sheetData>
    <row r="1" customFormat="false" ht="31.5" hidden="false" customHeight="true" outlineLevel="0" collapsed="false">
      <c r="A1" s="18" t="s">
        <v>217</v>
      </c>
      <c r="B1" s="18" t="s">
        <v>447</v>
      </c>
      <c r="C1" s="18" t="s">
        <v>448</v>
      </c>
      <c r="D1" s="18" t="s">
        <v>449</v>
      </c>
      <c r="E1" s="18" t="s">
        <v>450</v>
      </c>
      <c r="F1" s="18" t="s">
        <v>451</v>
      </c>
      <c r="G1" s="18" t="s">
        <v>452</v>
      </c>
      <c r="H1" s="18" t="s">
        <v>453</v>
      </c>
      <c r="I1" s="18" t="s">
        <v>454</v>
      </c>
      <c r="J1" s="18" t="s">
        <v>455</v>
      </c>
      <c r="K1" s="18" t="s">
        <v>456</v>
      </c>
      <c r="L1" s="18" t="s">
        <v>457</v>
      </c>
      <c r="M1" s="18" t="s">
        <v>458</v>
      </c>
      <c r="N1" s="18" t="s">
        <v>459</v>
      </c>
      <c r="O1" s="18" t="s">
        <v>60</v>
      </c>
      <c r="P1" s="18" t="s">
        <v>324</v>
      </c>
    </row>
    <row r="2" customFormat="false" ht="15" hidden="false" customHeight="false" outlineLevel="0" collapsed="false">
      <c r="A2" s="19" t="s">
        <v>194</v>
      </c>
      <c r="B2" s="19" t="s">
        <v>460</v>
      </c>
      <c r="C2" s="19" t="s">
        <v>330</v>
      </c>
      <c r="D2" s="21" t="n">
        <v>550</v>
      </c>
      <c r="E2" s="19" t="n">
        <v>3</v>
      </c>
      <c r="F2" s="19" t="n">
        <v>4</v>
      </c>
      <c r="G2" s="19" t="n">
        <v>3</v>
      </c>
      <c r="H2" s="19" t="n">
        <v>5</v>
      </c>
      <c r="I2" s="19" t="n">
        <v>4</v>
      </c>
      <c r="J2" s="19" t="n">
        <v>3</v>
      </c>
      <c r="K2" s="19" t="n">
        <v>3</v>
      </c>
      <c r="L2" s="19" t="n">
        <v>5</v>
      </c>
      <c r="M2" s="19" t="s">
        <v>461</v>
      </c>
      <c r="N2" s="19" t="n">
        <v>4</v>
      </c>
      <c r="O2" s="19" t="s">
        <v>330</v>
      </c>
      <c r="P2" s="19"/>
    </row>
    <row r="3" customFormat="false" ht="15" hidden="false" customHeight="false" outlineLevel="0" collapsed="false">
      <c r="A3" s="19" t="s">
        <v>196</v>
      </c>
      <c r="B3" s="19" t="s">
        <v>460</v>
      </c>
      <c r="C3" s="19" t="s">
        <v>330</v>
      </c>
      <c r="D3" s="21" t="n">
        <v>600</v>
      </c>
      <c r="E3" s="19" t="n">
        <v>4</v>
      </c>
      <c r="F3" s="19" t="n">
        <v>5</v>
      </c>
      <c r="G3" s="19" t="n">
        <v>3</v>
      </c>
      <c r="H3" s="19" t="n">
        <v>3</v>
      </c>
      <c r="I3" s="19" t="n">
        <v>5</v>
      </c>
      <c r="J3" s="19" t="n">
        <v>3</v>
      </c>
      <c r="K3" s="19" t="n">
        <v>4</v>
      </c>
      <c r="L3" s="19" t="n">
        <v>2</v>
      </c>
      <c r="M3" s="19" t="s">
        <v>462</v>
      </c>
      <c r="N3" s="19" t="n">
        <v>6</v>
      </c>
      <c r="O3" s="19" t="s">
        <v>330</v>
      </c>
      <c r="P3" s="19"/>
    </row>
    <row r="4" customFormat="false" ht="15" hidden="false" customHeight="false" outlineLevel="0" collapsed="false">
      <c r="A4" s="19" t="s">
        <v>198</v>
      </c>
      <c r="B4" s="19" t="s">
        <v>460</v>
      </c>
      <c r="C4" s="19" t="s">
        <v>330</v>
      </c>
      <c r="D4" s="21" t="n">
        <v>250</v>
      </c>
      <c r="E4" s="19" t="n">
        <v>4</v>
      </c>
      <c r="F4" s="19" t="n">
        <v>4</v>
      </c>
      <c r="G4" s="19" t="n">
        <v>3</v>
      </c>
      <c r="H4" s="19" t="n">
        <v>5</v>
      </c>
      <c r="I4" s="19" t="n">
        <v>3</v>
      </c>
      <c r="J4" s="19" t="n">
        <v>5</v>
      </c>
      <c r="K4" s="19" t="n">
        <v>3</v>
      </c>
      <c r="L4" s="19" t="n">
        <v>4</v>
      </c>
      <c r="M4" s="19" t="s">
        <v>461</v>
      </c>
      <c r="N4" s="19" t="n">
        <v>3</v>
      </c>
      <c r="O4" s="19" t="s">
        <v>330</v>
      </c>
      <c r="P4" s="19"/>
    </row>
    <row r="5" customFormat="false" ht="15" hidden="false" customHeight="false" outlineLevel="0" collapsed="false">
      <c r="A5" s="19" t="s">
        <v>199</v>
      </c>
      <c r="B5" s="19" t="s">
        <v>460</v>
      </c>
      <c r="C5" s="19" t="s">
        <v>330</v>
      </c>
      <c r="D5" s="21" t="n">
        <v>650</v>
      </c>
      <c r="E5" s="19" t="n">
        <v>3</v>
      </c>
      <c r="F5" s="19" t="n">
        <v>5</v>
      </c>
      <c r="G5" s="19" t="n">
        <v>5</v>
      </c>
      <c r="H5" s="19" t="n">
        <v>3</v>
      </c>
      <c r="I5" s="19" t="n">
        <v>4</v>
      </c>
      <c r="J5" s="19" t="n">
        <v>4</v>
      </c>
      <c r="K5" s="19" t="n">
        <v>5</v>
      </c>
      <c r="L5" s="19" t="n">
        <v>5</v>
      </c>
      <c r="M5" s="19" t="s">
        <v>461</v>
      </c>
      <c r="N5" s="19" t="n">
        <v>5</v>
      </c>
      <c r="O5" s="19" t="s">
        <v>330</v>
      </c>
      <c r="P5" s="19"/>
    </row>
    <row r="6" customFormat="false" ht="15" hidden="false" customHeight="false" outlineLevel="0" collapsed="false">
      <c r="A6" s="19" t="s">
        <v>200</v>
      </c>
      <c r="B6" s="19" t="s">
        <v>460</v>
      </c>
      <c r="C6" s="19" t="s">
        <v>330</v>
      </c>
      <c r="D6" s="21" t="n">
        <v>550</v>
      </c>
      <c r="E6" s="19" t="n">
        <v>4</v>
      </c>
      <c r="F6" s="19" t="n">
        <v>4</v>
      </c>
      <c r="G6" s="19" t="n">
        <v>4</v>
      </c>
      <c r="H6" s="19" t="n">
        <v>2</v>
      </c>
      <c r="I6" s="19" t="n">
        <v>4</v>
      </c>
      <c r="J6" s="19" t="n">
        <v>5</v>
      </c>
      <c r="K6" s="19" t="n">
        <v>5</v>
      </c>
      <c r="L6" s="19" t="n">
        <v>3</v>
      </c>
      <c r="M6" s="19" t="s">
        <v>461</v>
      </c>
      <c r="N6" s="19" t="n">
        <v>8</v>
      </c>
      <c r="O6" s="19" t="s">
        <v>330</v>
      </c>
      <c r="P6" s="19" t="s">
        <v>463</v>
      </c>
    </row>
    <row r="7" customFormat="false" ht="15" hidden="false" customHeight="false" outlineLevel="0" collapsed="false">
      <c r="A7" s="19" t="s">
        <v>201</v>
      </c>
      <c r="B7" s="19" t="s">
        <v>460</v>
      </c>
      <c r="C7" s="19" t="s">
        <v>330</v>
      </c>
      <c r="D7" s="21" t="n">
        <v>600</v>
      </c>
      <c r="E7" s="19" t="n">
        <v>3</v>
      </c>
      <c r="F7" s="19" t="n">
        <v>4</v>
      </c>
      <c r="G7" s="19" t="n">
        <v>3</v>
      </c>
      <c r="H7" s="19" t="n">
        <v>3</v>
      </c>
      <c r="I7" s="19" t="n">
        <v>5</v>
      </c>
      <c r="J7" s="19" t="n">
        <v>4</v>
      </c>
      <c r="K7" s="19" t="n">
        <v>5</v>
      </c>
      <c r="L7" s="19" t="n">
        <v>3</v>
      </c>
      <c r="M7" s="19" t="s">
        <v>461</v>
      </c>
      <c r="N7" s="19" t="n">
        <v>5</v>
      </c>
      <c r="O7" s="19" t="s">
        <v>330</v>
      </c>
      <c r="P7" s="19"/>
    </row>
    <row r="8" customFormat="false" ht="15" hidden="false" customHeight="false" outlineLevel="0" collapsed="false">
      <c r="A8" s="19" t="s">
        <v>202</v>
      </c>
      <c r="B8" s="19" t="s">
        <v>460</v>
      </c>
      <c r="C8" s="19" t="s">
        <v>330</v>
      </c>
      <c r="D8" s="21" t="n">
        <v>900</v>
      </c>
      <c r="E8" s="19" t="n">
        <v>3</v>
      </c>
      <c r="F8" s="19" t="n">
        <v>4</v>
      </c>
      <c r="G8" s="19" t="n">
        <v>4</v>
      </c>
      <c r="H8" s="19" t="n">
        <v>3</v>
      </c>
      <c r="I8" s="19" t="n">
        <v>5</v>
      </c>
      <c r="J8" s="19" t="n">
        <v>3</v>
      </c>
      <c r="K8" s="19" t="n">
        <v>4</v>
      </c>
      <c r="L8" s="19" t="n">
        <v>3</v>
      </c>
      <c r="M8" s="19" t="s">
        <v>462</v>
      </c>
      <c r="N8" s="19" t="n">
        <v>8</v>
      </c>
      <c r="O8" s="19" t="s">
        <v>330</v>
      </c>
      <c r="P8" s="19" t="s">
        <v>464</v>
      </c>
    </row>
    <row r="9" customFormat="false" ht="15" hidden="false" customHeight="false" outlineLevel="0" collapsed="false">
      <c r="A9" s="19" t="s">
        <v>203</v>
      </c>
      <c r="B9" s="19" t="s">
        <v>460</v>
      </c>
      <c r="C9" s="19" t="s">
        <v>330</v>
      </c>
      <c r="D9" s="21" t="n">
        <v>250</v>
      </c>
      <c r="E9" s="19" t="n">
        <v>4</v>
      </c>
      <c r="F9" s="19" t="n">
        <v>5</v>
      </c>
      <c r="G9" s="19" t="n">
        <v>3</v>
      </c>
      <c r="H9" s="19" t="n">
        <v>4</v>
      </c>
      <c r="I9" s="19" t="n">
        <v>3</v>
      </c>
      <c r="J9" s="19" t="n">
        <v>3</v>
      </c>
      <c r="K9" s="19" t="n">
        <v>3</v>
      </c>
      <c r="L9" s="19" t="n">
        <v>4</v>
      </c>
      <c r="M9" s="19" t="s">
        <v>461</v>
      </c>
      <c r="N9" s="19" t="n">
        <v>4</v>
      </c>
      <c r="O9" s="19" t="s">
        <v>330</v>
      </c>
      <c r="P9" s="19"/>
    </row>
    <row r="10" customFormat="false" ht="15" hidden="false" customHeight="false" outlineLevel="0" collapsed="false">
      <c r="A10" s="19" t="s">
        <v>204</v>
      </c>
      <c r="B10" s="19" t="s">
        <v>460</v>
      </c>
      <c r="C10" s="19" t="s">
        <v>330</v>
      </c>
      <c r="D10" s="21" t="n">
        <v>700</v>
      </c>
      <c r="E10" s="19" t="n">
        <v>3</v>
      </c>
      <c r="F10" s="19" t="n">
        <v>4</v>
      </c>
      <c r="G10" s="19" t="n">
        <v>4</v>
      </c>
      <c r="H10" s="19" t="n">
        <v>5</v>
      </c>
      <c r="I10" s="19" t="n">
        <v>3</v>
      </c>
      <c r="J10" s="19" t="n">
        <v>4</v>
      </c>
      <c r="K10" s="19" t="n">
        <v>5</v>
      </c>
      <c r="L10" s="19" t="n">
        <v>5</v>
      </c>
      <c r="M10" s="19" t="s">
        <v>461</v>
      </c>
      <c r="N10" s="19" t="n">
        <v>6</v>
      </c>
      <c r="O10" s="19" t="s">
        <v>331</v>
      </c>
      <c r="P10" s="19"/>
    </row>
    <row r="11" customFormat="false" ht="15" hidden="false" customHeight="false" outlineLevel="0" collapsed="false">
      <c r="A11" s="19" t="s">
        <v>205</v>
      </c>
      <c r="B11" s="19" t="s">
        <v>460</v>
      </c>
      <c r="C11" s="19" t="s">
        <v>330</v>
      </c>
      <c r="D11" s="21" t="n">
        <v>300</v>
      </c>
      <c r="E11" s="19" t="n">
        <v>3</v>
      </c>
      <c r="F11" s="19" t="n">
        <v>5</v>
      </c>
      <c r="G11" s="19" t="n">
        <v>4</v>
      </c>
      <c r="H11" s="19" t="n">
        <v>2</v>
      </c>
      <c r="I11" s="19" t="n">
        <v>4</v>
      </c>
      <c r="J11" s="19" t="n">
        <v>3</v>
      </c>
      <c r="K11" s="19" t="n">
        <v>4</v>
      </c>
      <c r="L11" s="19" t="n">
        <v>3</v>
      </c>
      <c r="M11" s="19" t="s">
        <v>461</v>
      </c>
      <c r="N11" s="19" t="n">
        <v>3</v>
      </c>
      <c r="O11" s="19" t="s">
        <v>330</v>
      </c>
      <c r="P11" s="19" t="s">
        <v>463</v>
      </c>
    </row>
    <row r="12" customFormat="false" ht="15" hidden="false" customHeight="false" outlineLevel="0" collapsed="false">
      <c r="A12" s="19" t="s">
        <v>206</v>
      </c>
      <c r="B12" s="19" t="s">
        <v>460</v>
      </c>
      <c r="C12" s="19" t="s">
        <v>330</v>
      </c>
      <c r="D12" s="21" t="n">
        <v>600</v>
      </c>
      <c r="E12" s="19" t="n">
        <v>3</v>
      </c>
      <c r="F12" s="19" t="n">
        <v>5</v>
      </c>
      <c r="G12" s="19" t="n">
        <v>3</v>
      </c>
      <c r="H12" s="19" t="n">
        <v>3</v>
      </c>
      <c r="I12" s="19" t="n">
        <v>3</v>
      </c>
      <c r="J12" s="19" t="n">
        <v>4</v>
      </c>
      <c r="K12" s="19" t="n">
        <v>4</v>
      </c>
      <c r="L12" s="19" t="n">
        <v>4</v>
      </c>
      <c r="M12" s="19" t="s">
        <v>461</v>
      </c>
      <c r="N12" s="19" t="n">
        <v>5</v>
      </c>
      <c r="O12" s="19" t="s">
        <v>330</v>
      </c>
      <c r="P12" s="19"/>
    </row>
    <row r="13" customFormat="false" ht="15" hidden="false" customHeight="false" outlineLevel="0" collapsed="false">
      <c r="A13" s="19" t="s">
        <v>207</v>
      </c>
      <c r="B13" s="19" t="s">
        <v>460</v>
      </c>
      <c r="C13" s="19" t="s">
        <v>330</v>
      </c>
      <c r="D13" s="21" t="n">
        <v>850</v>
      </c>
      <c r="E13" s="19" t="n">
        <v>3</v>
      </c>
      <c r="F13" s="19" t="n">
        <v>4</v>
      </c>
      <c r="G13" s="19" t="n">
        <v>4</v>
      </c>
      <c r="H13" s="19" t="n">
        <v>3</v>
      </c>
      <c r="I13" s="19" t="n">
        <v>4</v>
      </c>
      <c r="J13" s="19" t="n">
        <v>5</v>
      </c>
      <c r="K13" s="19" t="n">
        <v>3</v>
      </c>
      <c r="L13" s="19" t="n">
        <v>4</v>
      </c>
      <c r="M13" s="19" t="s">
        <v>462</v>
      </c>
      <c r="N13" s="19" t="n">
        <v>7</v>
      </c>
      <c r="O13" s="19" t="s">
        <v>330</v>
      </c>
      <c r="P13" s="19" t="s">
        <v>464</v>
      </c>
    </row>
    <row r="14" customFormat="false" ht="15" hidden="false" customHeight="false" outlineLevel="0" collapsed="false">
      <c r="A14" s="19" t="s">
        <v>208</v>
      </c>
      <c r="B14" s="19" t="s">
        <v>460</v>
      </c>
      <c r="C14" s="19" t="s">
        <v>330</v>
      </c>
      <c r="D14" s="21" t="n">
        <v>350</v>
      </c>
      <c r="E14" s="19" t="n">
        <v>3</v>
      </c>
      <c r="F14" s="19" t="n">
        <v>4</v>
      </c>
      <c r="G14" s="19" t="n">
        <v>3</v>
      </c>
      <c r="H14" s="19" t="n">
        <v>3</v>
      </c>
      <c r="I14" s="19" t="n">
        <v>3</v>
      </c>
      <c r="J14" s="19" t="n">
        <v>4</v>
      </c>
      <c r="K14" s="19" t="n">
        <v>4</v>
      </c>
      <c r="L14" s="19" t="n">
        <v>5</v>
      </c>
      <c r="M14" s="19" t="s">
        <v>461</v>
      </c>
      <c r="N14" s="19" t="n">
        <v>4</v>
      </c>
      <c r="O14" s="19" t="s">
        <v>330</v>
      </c>
      <c r="P14" s="19"/>
    </row>
    <row r="15" customFormat="false" ht="15" hidden="false" customHeight="false" outlineLevel="0" collapsed="false">
      <c r="A15" s="19" t="s">
        <v>209</v>
      </c>
      <c r="B15" s="19" t="s">
        <v>460</v>
      </c>
      <c r="C15" s="19" t="s">
        <v>330</v>
      </c>
      <c r="D15" s="21" t="n">
        <v>550</v>
      </c>
      <c r="E15" s="19" t="n">
        <v>3</v>
      </c>
      <c r="F15" s="19" t="n">
        <v>5</v>
      </c>
      <c r="G15" s="19" t="n">
        <v>3</v>
      </c>
      <c r="H15" s="19" t="n">
        <v>3</v>
      </c>
      <c r="I15" s="19" t="n">
        <v>4</v>
      </c>
      <c r="J15" s="19" t="n">
        <v>3</v>
      </c>
      <c r="K15" s="19" t="n">
        <v>5</v>
      </c>
      <c r="L15" s="19" t="n">
        <v>3</v>
      </c>
      <c r="M15" s="19" t="s">
        <v>465</v>
      </c>
      <c r="N15" s="19" t="n">
        <v>5</v>
      </c>
      <c r="O15" s="19" t="s">
        <v>330</v>
      </c>
      <c r="P15" s="19"/>
    </row>
    <row r="16" customFormat="false" ht="15" hidden="false" customHeight="false" outlineLevel="0" collapsed="false">
      <c r="A16" s="19" t="s">
        <v>210</v>
      </c>
      <c r="B16" s="19" t="s">
        <v>460</v>
      </c>
      <c r="C16" s="19" t="s">
        <v>330</v>
      </c>
      <c r="D16" s="21" t="n">
        <v>400</v>
      </c>
      <c r="E16" s="19" t="n">
        <v>4</v>
      </c>
      <c r="F16" s="19" t="n">
        <v>5</v>
      </c>
      <c r="G16" s="19" t="n">
        <v>4</v>
      </c>
      <c r="H16" s="19" t="n">
        <v>4</v>
      </c>
      <c r="I16" s="19" t="n">
        <v>4</v>
      </c>
      <c r="J16" s="19" t="n">
        <v>3</v>
      </c>
      <c r="K16" s="19" t="n">
        <v>5</v>
      </c>
      <c r="L16" s="19" t="n">
        <v>4</v>
      </c>
      <c r="M16" s="19" t="s">
        <v>461</v>
      </c>
      <c r="N16" s="19" t="n">
        <v>6</v>
      </c>
      <c r="O16" s="19" t="s">
        <v>331</v>
      </c>
      <c r="P16" s="19"/>
    </row>
    <row r="17" customFormat="false" ht="15" hidden="false" customHeight="false" outlineLevel="0" collapsed="false">
      <c r="A17" s="19" t="s">
        <v>211</v>
      </c>
      <c r="B17" s="19" t="s">
        <v>460</v>
      </c>
      <c r="C17" s="19" t="s">
        <v>330</v>
      </c>
      <c r="D17" s="21" t="n">
        <v>200</v>
      </c>
      <c r="E17" s="19" t="n">
        <v>4</v>
      </c>
      <c r="F17" s="19" t="n">
        <v>4</v>
      </c>
      <c r="G17" s="19" t="n">
        <v>3</v>
      </c>
      <c r="H17" s="19" t="n">
        <v>5</v>
      </c>
      <c r="I17" s="19" t="n">
        <v>5</v>
      </c>
      <c r="J17" s="19" t="n">
        <v>4</v>
      </c>
      <c r="K17" s="19" t="n">
        <v>5</v>
      </c>
      <c r="L17" s="19" t="n">
        <v>3</v>
      </c>
      <c r="M17" s="19" t="s">
        <v>461</v>
      </c>
      <c r="N17" s="19" t="n">
        <v>3</v>
      </c>
      <c r="O17" s="19" t="s">
        <v>330</v>
      </c>
      <c r="P1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31.5" hidden="false" customHeight="true" outlineLevel="0" collapsed="false">
      <c r="A1" s="18" t="s">
        <v>150</v>
      </c>
      <c r="B1" s="18" t="s">
        <v>466</v>
      </c>
      <c r="C1" s="18" t="s">
        <v>467</v>
      </c>
      <c r="D1" s="18" t="s">
        <v>468</v>
      </c>
      <c r="E1" s="18" t="s">
        <v>469</v>
      </c>
      <c r="F1" s="18" t="s">
        <v>470</v>
      </c>
      <c r="G1" s="18" t="s">
        <v>471</v>
      </c>
    </row>
    <row r="2" customFormat="false" ht="15" hidden="false" customHeight="false" outlineLevel="0" collapsed="false">
      <c r="A2" s="19" t="n">
        <v>1</v>
      </c>
      <c r="B2" s="19" t="s">
        <v>472</v>
      </c>
      <c r="C2" s="19" t="s">
        <v>175</v>
      </c>
      <c r="D2" s="19" t="s">
        <v>473</v>
      </c>
      <c r="E2" s="19" t="s">
        <v>474</v>
      </c>
      <c r="F2" s="19" t="s">
        <v>328</v>
      </c>
      <c r="G2" s="19" t="s">
        <v>475</v>
      </c>
    </row>
    <row r="3" customFormat="false" ht="15" hidden="false" customHeight="false" outlineLevel="0" collapsed="false">
      <c r="A3" s="19" t="n">
        <v>2</v>
      </c>
      <c r="B3" s="19" t="s">
        <v>476</v>
      </c>
      <c r="C3" s="19" t="s">
        <v>180</v>
      </c>
      <c r="D3" s="19" t="s">
        <v>473</v>
      </c>
      <c r="E3" s="19" t="s">
        <v>477</v>
      </c>
      <c r="F3" s="19" t="s">
        <v>478</v>
      </c>
      <c r="G3" s="19" t="s">
        <v>479</v>
      </c>
    </row>
    <row r="4" customFormat="false" ht="15" hidden="false" customHeight="false" outlineLevel="0" collapsed="false">
      <c r="A4" s="19" t="n">
        <v>3</v>
      </c>
      <c r="B4" s="19" t="s">
        <v>480</v>
      </c>
      <c r="C4" s="19" t="s">
        <v>167</v>
      </c>
      <c r="D4" s="19" t="s">
        <v>481</v>
      </c>
      <c r="E4" s="19" t="s">
        <v>474</v>
      </c>
      <c r="F4" s="19" t="s">
        <v>363</v>
      </c>
      <c r="G4" s="19" t="s">
        <v>482</v>
      </c>
    </row>
    <row r="5" customFormat="false" ht="15" hidden="false" customHeight="false" outlineLevel="0" collapsed="false">
      <c r="A5" s="19" t="n">
        <v>4</v>
      </c>
      <c r="B5" s="19" t="s">
        <v>483</v>
      </c>
      <c r="C5" s="19" t="s">
        <v>167</v>
      </c>
      <c r="D5" s="19" t="s">
        <v>481</v>
      </c>
      <c r="E5" s="19" t="s">
        <v>484</v>
      </c>
      <c r="F5" s="19" t="s">
        <v>242</v>
      </c>
      <c r="G5" s="19" t="s">
        <v>485</v>
      </c>
    </row>
    <row r="6" customFormat="false" ht="15" hidden="false" customHeight="false" outlineLevel="0" collapsed="false">
      <c r="A6" s="19" t="n">
        <v>5</v>
      </c>
      <c r="B6" s="19" t="s">
        <v>486</v>
      </c>
      <c r="C6" s="19" t="s">
        <v>180</v>
      </c>
      <c r="D6" s="19" t="s">
        <v>473</v>
      </c>
      <c r="E6" s="19" t="s">
        <v>477</v>
      </c>
      <c r="F6" s="19" t="s">
        <v>487</v>
      </c>
      <c r="G6" s="19" t="s">
        <v>488</v>
      </c>
    </row>
    <row r="7" customFormat="false" ht="15" hidden="false" customHeight="false" outlineLevel="0" collapsed="false">
      <c r="A7" s="19" t="n">
        <v>6</v>
      </c>
      <c r="B7" s="19" t="s">
        <v>489</v>
      </c>
      <c r="C7" s="19" t="s">
        <v>180</v>
      </c>
      <c r="D7" s="19" t="s">
        <v>473</v>
      </c>
      <c r="E7" s="19" t="s">
        <v>477</v>
      </c>
      <c r="F7" s="19" t="s">
        <v>490</v>
      </c>
      <c r="G7" s="19" t="s">
        <v>491</v>
      </c>
    </row>
    <row r="8" customFormat="false" ht="15" hidden="false" customHeight="false" outlineLevel="0" collapsed="false">
      <c r="A8" s="19" t="n">
        <v>7</v>
      </c>
      <c r="B8" s="19" t="s">
        <v>492</v>
      </c>
      <c r="C8" s="19" t="s">
        <v>167</v>
      </c>
      <c r="D8" s="19" t="s">
        <v>493</v>
      </c>
      <c r="E8" s="19" t="s">
        <v>494</v>
      </c>
      <c r="F8" s="19" t="s">
        <v>495</v>
      </c>
      <c r="G8" s="19" t="s">
        <v>496</v>
      </c>
    </row>
    <row r="9" customFormat="false" ht="15" hidden="false" customHeight="false" outlineLevel="0" collapsed="false">
      <c r="A9" s="19" t="n">
        <v>8</v>
      </c>
      <c r="B9" s="19" t="s">
        <v>497</v>
      </c>
      <c r="C9" s="19" t="s">
        <v>182</v>
      </c>
      <c r="D9" s="19" t="s">
        <v>498</v>
      </c>
      <c r="E9" s="19" t="s">
        <v>499</v>
      </c>
      <c r="F9" s="19" t="s">
        <v>182</v>
      </c>
      <c r="G9" s="19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2026-10-05T19:33:56Z</dcterms:created>
  <dc:creator>openpyxl</dc:creator>
  <dc:description/>
  <dc:language>en-US</dc:language>
  <cp:lastModifiedBy/>
  <dcterms:modified xsi:type="dcterms:W3CDTF">2026-10-05T19:33:56Z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